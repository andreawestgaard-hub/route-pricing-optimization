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wes\Downloads\"/>
    </mc:Choice>
  </mc:AlternateContent>
  <xr:revisionPtr revIDLastSave="0" documentId="8_{DD1BBF2C-3C71-4C93-8A10-B2DF9E165A3A}" xr6:coauthVersionLast="47" xr6:coauthVersionMax="47" xr10:uidLastSave="{00000000-0000-0000-0000-000000000000}"/>
  <bookViews>
    <workbookView xWindow="-108" yWindow="-108" windowWidth="23256" windowHeight="13176" activeTab="4" xr2:uid="{76EC9933-4717-F546-B037-8638E2CF943D}"/>
  </bookViews>
  <sheets>
    <sheet name="Følsomhetsrapport 1" sheetId="2" r:id="rId1"/>
    <sheet name="Reiserute" sheetId="1" r:id="rId2"/>
    <sheet name="Følsomhetsrapport 2" sheetId="7" r:id="rId3"/>
    <sheet name="Billettpris" sheetId="3" r:id="rId4"/>
    <sheet name="Sensitivity Report 3" sheetId="10" r:id="rId5"/>
    <sheet name="Billettpris (2)" sheetId="9" r:id="rId6"/>
    <sheet name="Sheet1" sheetId="8" r:id="rId7"/>
  </sheets>
  <definedNames>
    <definedName name="solver_adj" localSheetId="3" hidden="1">Billettpris!$C$14:$E$19</definedName>
    <definedName name="solver_adj" localSheetId="5" hidden="1">'Billettpris (2)'!$C$14:$E$19</definedName>
    <definedName name="solver_adj" localSheetId="1" hidden="1">Reiserute!$C$19:$H$24</definedName>
    <definedName name="solver_cvg" localSheetId="3" hidden="1">0.0001</definedName>
    <definedName name="solver_cvg" localSheetId="5" hidden="1">0.0001</definedName>
    <definedName name="solver_cvg" localSheetId="1" hidden="1">0.0001</definedName>
    <definedName name="solver_drv" localSheetId="3" hidden="1">1</definedName>
    <definedName name="solver_drv" localSheetId="5" hidden="1">1</definedName>
    <definedName name="solver_drv" localSheetId="1" hidden="1">1</definedName>
    <definedName name="solver_eng" localSheetId="3" hidden="1">2</definedName>
    <definedName name="solver_eng" localSheetId="5" hidden="1">2</definedName>
    <definedName name="solver_eng" localSheetId="1" hidden="1">2</definedName>
    <definedName name="solver_est" localSheetId="5" hidden="1">1</definedName>
    <definedName name="solver_itr" localSheetId="3" hidden="1">2147483647</definedName>
    <definedName name="solver_itr" localSheetId="5" hidden="1">2147483647</definedName>
    <definedName name="solver_itr" localSheetId="1" hidden="1">2147483647</definedName>
    <definedName name="solver_lhs1" localSheetId="3" hidden="1">Billettpris!$C$15</definedName>
    <definedName name="solver_lhs1" localSheetId="5" hidden="1">'Billettpris (2)'!$C$15</definedName>
    <definedName name="solver_lhs1" localSheetId="1" hidden="1">Reiserute!$C$19</definedName>
    <definedName name="solver_lhs10" localSheetId="3" hidden="1">Billettpris!$D$16</definedName>
    <definedName name="solver_lhs10" localSheetId="5" hidden="1">'Billettpris (2)'!$D$15</definedName>
    <definedName name="solver_lhs10" localSheetId="1" hidden="1">Reiserute!$G$23</definedName>
    <definedName name="solver_lhs11" localSheetId="3" hidden="1">Billettpris!$C$18</definedName>
    <definedName name="solver_lhs11" localSheetId="5" hidden="1">'Billettpris (2)'!$F$43</definedName>
    <definedName name="solver_lhs11" localSheetId="1" hidden="1">Reiserute!$G$25</definedName>
    <definedName name="solver_lhs12" localSheetId="3" hidden="1">Billettpris!$D$18</definedName>
    <definedName name="solver_lhs12" localSheetId="5" hidden="1">'Billettpris (2)'!$D$16</definedName>
    <definedName name="solver_lhs12" localSheetId="1" hidden="1">Reiserute!$H$24</definedName>
    <definedName name="solver_lhs13" localSheetId="3" hidden="1">Billettpris!$D$16</definedName>
    <definedName name="solver_lhs13" localSheetId="5" hidden="1">'Billettpris (2)'!$C$16</definedName>
    <definedName name="solver_lhs13" localSheetId="1" hidden="1">Reiserute!$H$25</definedName>
    <definedName name="solver_lhs14" localSheetId="3" hidden="1">Billettpris!$C$37</definedName>
    <definedName name="solver_lhs14" localSheetId="5" hidden="1">'Billettpris (2)'!$D$18</definedName>
    <definedName name="solver_lhs14" localSheetId="1" hidden="1">Reiserute!$I$19</definedName>
    <definedName name="solver_lhs15" localSheetId="3" hidden="1">Billettpris!$E$15</definedName>
    <definedName name="solver_lhs15" localSheetId="5" hidden="1">'Billettpris (2)'!$D$38</definedName>
    <definedName name="solver_lhs15" localSheetId="1" hidden="1">Reiserute!$I$20</definedName>
    <definedName name="solver_lhs16" localSheetId="3" hidden="1">Billettpris!$E$14</definedName>
    <definedName name="solver_lhs16" localSheetId="5" hidden="1">'Billettpris (2)'!$E$14</definedName>
    <definedName name="solver_lhs16" localSheetId="1" hidden="1">Reiserute!$I$21</definedName>
    <definedName name="solver_lhs17" localSheetId="3" hidden="1">Billettpris!$D$38</definedName>
    <definedName name="solver_lhs17" localSheetId="5" hidden="1">'Billettpris (2)'!$E$15</definedName>
    <definedName name="solver_lhs17" localSheetId="1" hidden="1">Reiserute!$I$22</definedName>
    <definedName name="solver_lhs18" localSheetId="3" hidden="1">Billettpris!$D$18</definedName>
    <definedName name="solver_lhs18" localSheetId="5" hidden="1">'Billettpris (2)'!$C$37</definedName>
    <definedName name="solver_lhs18" localSheetId="1" hidden="1">Reiserute!$I$23</definedName>
    <definedName name="solver_lhs19" localSheetId="3" hidden="1">Billettpris!$C$42</definedName>
    <definedName name="solver_lhs19" localSheetId="5" hidden="1">'Billettpris (2)'!$C$16</definedName>
    <definedName name="solver_lhs19" localSheetId="1" hidden="1">Reiserute!$I$24</definedName>
    <definedName name="solver_lhs2" localSheetId="3" hidden="1">Billettpris!$C$15</definedName>
    <definedName name="solver_lhs2" localSheetId="5" hidden="1">'Billettpris (2)'!$C$15</definedName>
    <definedName name="solver_lhs2" localSheetId="1" hidden="1">Reiserute!$C$25</definedName>
    <definedName name="solver_lhs20" localSheetId="3" hidden="1">Billettpris!$E$16</definedName>
    <definedName name="solver_lhs20" localSheetId="5" hidden="1">'Billettpris (2)'!$D$16</definedName>
    <definedName name="solver_lhs21" localSheetId="3" hidden="1">Billettpris!$E$15</definedName>
    <definedName name="solver_lhs21" localSheetId="5" hidden="1">'Billettpris (2)'!$D$16</definedName>
    <definedName name="solver_lhs22" localSheetId="3" hidden="1">Billettpris!$D$19</definedName>
    <definedName name="solver_lhs22" localSheetId="5" hidden="1">'Billettpris (2)'!$C$17</definedName>
    <definedName name="solver_lhs23" localSheetId="3" hidden="1">Billettpris!$D$19</definedName>
    <definedName name="solver_lhs23" localSheetId="5" hidden="1">'Billettpris (2)'!$D$17</definedName>
    <definedName name="solver_lhs24" localSheetId="3" hidden="1">Billettpris!$D$14</definedName>
    <definedName name="solver_lhs24" localSheetId="5" hidden="1">'Billettpris (2)'!$C$18</definedName>
    <definedName name="solver_lhs25" localSheetId="3" hidden="1">Billettpris!$E$17</definedName>
    <definedName name="solver_lhs25" localSheetId="5" hidden="1">'Billettpris (2)'!$D$18</definedName>
    <definedName name="solver_lhs26" localSheetId="3" hidden="1">Billettpris!$E$16</definedName>
    <definedName name="solver_lhs26" localSheetId="5" hidden="1">'Billettpris (2)'!$E$14</definedName>
    <definedName name="solver_lhs27" localSheetId="3" hidden="1">Billettpris!$D$14</definedName>
    <definedName name="solver_lhs27" localSheetId="5" hidden="1">'Billettpris (2)'!$E$18</definedName>
    <definedName name="solver_lhs28" localSheetId="3" hidden="1">Billettpris!$E$17</definedName>
    <definedName name="solver_lhs28" localSheetId="5" hidden="1">'Billettpris (2)'!$E$19</definedName>
    <definedName name="solver_lhs29" localSheetId="3" hidden="1">Billettpris!$E$14</definedName>
    <definedName name="solver_lhs29" localSheetId="5" hidden="1">'Billettpris (2)'!$E$19</definedName>
    <definedName name="solver_lhs3" localSheetId="3" hidden="1">Billettpris!$C$16</definedName>
    <definedName name="solver_lhs3" localSheetId="5" hidden="1">'Billettpris (2)'!$D$19</definedName>
    <definedName name="solver_lhs3" localSheetId="1" hidden="1">Reiserute!$D$20</definedName>
    <definedName name="solver_lhs30" localSheetId="3" hidden="1">Billettpris!$D$15</definedName>
    <definedName name="solver_lhs30" localSheetId="5" hidden="1">'Billettpris (2)'!$D$15</definedName>
    <definedName name="solver_lhs31" localSheetId="3" hidden="1">Billettpris!$E$18</definedName>
    <definedName name="solver_lhs31" localSheetId="5" hidden="1">'Billettpris (2)'!$C$18</definedName>
    <definedName name="solver_lhs32" localSheetId="3" hidden="1">Billettpris!$E$18</definedName>
    <definedName name="solver_lhs32" localSheetId="5" hidden="1">'Billettpris (2)'!$E$16</definedName>
    <definedName name="solver_lhs33" localSheetId="3" hidden="1">Billettpris!$D$15</definedName>
    <definedName name="solver_lhs33" localSheetId="5" hidden="1">'Billettpris (2)'!$E$17</definedName>
    <definedName name="solver_lhs34" localSheetId="3" hidden="1">Billettpris!$E$19</definedName>
    <definedName name="solver_lhs34" localSheetId="5" hidden="1">'Billettpris (2)'!$D$14</definedName>
    <definedName name="solver_lhs35" localSheetId="3" hidden="1">Billettpris!$E$19</definedName>
    <definedName name="solver_lhs35" localSheetId="5" hidden="1">'Billettpris (2)'!$E$17</definedName>
    <definedName name="solver_lhs36" localSheetId="3" hidden="1">Billettpris!$E$18</definedName>
    <definedName name="solver_lhs36" localSheetId="5" hidden="1">'Billettpris (2)'!$D$14</definedName>
    <definedName name="solver_lhs37" localSheetId="3" hidden="1">Billettpris!$D$16</definedName>
    <definedName name="solver_lhs37" localSheetId="5" hidden="1">'Billettpris (2)'!$C$17</definedName>
    <definedName name="solver_lhs38" localSheetId="3" hidden="1">Billettpris!$F$43</definedName>
    <definedName name="solver_lhs38" localSheetId="5" hidden="1">'Billettpris (2)'!$D$17</definedName>
    <definedName name="solver_lhs39" localSheetId="3" hidden="1">Billettpris!$F$43</definedName>
    <definedName name="solver_lhs39" localSheetId="5" hidden="1">'Billettpris (2)'!$F$43</definedName>
    <definedName name="solver_lhs4" localSheetId="3" hidden="1">Billettpris!$C$16</definedName>
    <definedName name="solver_lhs4" localSheetId="5" hidden="1">'Billettpris (2)'!$D$19</definedName>
    <definedName name="solver_lhs4" localSheetId="1" hidden="1">Reiserute!$D$25</definedName>
    <definedName name="solver_lhs5" localSheetId="3" hidden="1">Billettpris!$C$17</definedName>
    <definedName name="solver_lhs5" localSheetId="5" hidden="1">'Billettpris (2)'!$E$15</definedName>
    <definedName name="solver_lhs5" localSheetId="1" hidden="1">Reiserute!$E$21</definedName>
    <definedName name="solver_lhs6" localSheetId="3" hidden="1">Billettpris!$C$17</definedName>
    <definedName name="solver_lhs6" localSheetId="5" hidden="1">'Billettpris (2)'!$E$16</definedName>
    <definedName name="solver_lhs6" localSheetId="1" hidden="1">Reiserute!$E$25</definedName>
    <definedName name="solver_lhs7" localSheetId="3" hidden="1">Billettpris!$D$17</definedName>
    <definedName name="solver_lhs7" localSheetId="5" hidden="1">'Billettpris (2)'!$C$42</definedName>
    <definedName name="solver_lhs7" localSheetId="1" hidden="1">Reiserute!$F$22</definedName>
    <definedName name="solver_lhs8" localSheetId="3" hidden="1">Billettpris!$C$18</definedName>
    <definedName name="solver_lhs8" localSheetId="5" hidden="1">'Billettpris (2)'!$E$18</definedName>
    <definedName name="solver_lhs8" localSheetId="1" hidden="1">Reiserute!$F$22:$H$24</definedName>
    <definedName name="solver_lhs9" localSheetId="3" hidden="1">Billettpris!$D$17</definedName>
    <definedName name="solver_lhs9" localSheetId="5" hidden="1">'Billettpris (2)'!$E$18</definedName>
    <definedName name="solver_lhs9" localSheetId="1" hidden="1">Reiserute!$F$25</definedName>
    <definedName name="solver_lin" localSheetId="3" hidden="1">1</definedName>
    <definedName name="solver_lin" localSheetId="5" hidden="1">1</definedName>
    <definedName name="solver_lin" localSheetId="1" hidden="1">1</definedName>
    <definedName name="solver_mip" localSheetId="3" hidden="1">2147483647</definedName>
    <definedName name="solver_mip" localSheetId="5" hidden="1">2147483647</definedName>
    <definedName name="solver_mip" localSheetId="1" hidden="1">2147483647</definedName>
    <definedName name="solver_mni" localSheetId="3" hidden="1">30</definedName>
    <definedName name="solver_mni" localSheetId="5" hidden="1">30</definedName>
    <definedName name="solver_mni" localSheetId="1" hidden="1">30</definedName>
    <definedName name="solver_mrt" localSheetId="3" hidden="1">0.075</definedName>
    <definedName name="solver_mrt" localSheetId="5" hidden="1">0.075</definedName>
    <definedName name="solver_mrt" localSheetId="1" hidden="1">0.075</definedName>
    <definedName name="solver_msl" localSheetId="3" hidden="1">2</definedName>
    <definedName name="solver_msl" localSheetId="5" hidden="1">2</definedName>
    <definedName name="solver_msl" localSheetId="1" hidden="1">2</definedName>
    <definedName name="solver_neg" localSheetId="3" hidden="1">1</definedName>
    <definedName name="solver_neg" localSheetId="5" hidden="1">1</definedName>
    <definedName name="solver_neg" localSheetId="1" hidden="1">1</definedName>
    <definedName name="solver_nod" localSheetId="3" hidden="1">2147483647</definedName>
    <definedName name="solver_nod" localSheetId="5" hidden="1">2147483647</definedName>
    <definedName name="solver_nod" localSheetId="1" hidden="1">2147483647</definedName>
    <definedName name="solver_num" localSheetId="3" hidden="1">38</definedName>
    <definedName name="solver_num" localSheetId="5" hidden="1">38</definedName>
    <definedName name="solver_num" localSheetId="1" hidden="1">19</definedName>
    <definedName name="solver_nwt" localSheetId="5" hidden="1">1</definedName>
    <definedName name="solver_opt" localSheetId="3" hidden="1">Billettpris!$F$43</definedName>
    <definedName name="solver_opt" localSheetId="5" hidden="1">'Billettpris (2)'!$F$43</definedName>
    <definedName name="solver_opt" localSheetId="1" hidden="1">Reiserute!$E$29</definedName>
    <definedName name="solver_pre" localSheetId="3" hidden="1">0.000001</definedName>
    <definedName name="solver_pre" localSheetId="5" hidden="1">0.000001</definedName>
    <definedName name="solver_pre" localSheetId="1" hidden="1">0.000001</definedName>
    <definedName name="solver_rbv" localSheetId="3" hidden="1">1</definedName>
    <definedName name="solver_rbv" localSheetId="5" hidden="1">1</definedName>
    <definedName name="solver_rbv" localSheetId="1" hidden="1">1</definedName>
    <definedName name="solver_rel1" localSheetId="3" hidden="1">1</definedName>
    <definedName name="solver_rel1" localSheetId="5" hidden="1">1</definedName>
    <definedName name="solver_rel1" localSheetId="1" hidden="1">2</definedName>
    <definedName name="solver_rel10" localSheetId="3" hidden="1">3</definedName>
    <definedName name="solver_rel10" localSheetId="5" hidden="1">1</definedName>
    <definedName name="solver_rel10" localSheetId="1" hidden="1">2</definedName>
    <definedName name="solver_rel11" localSheetId="3" hidden="1">3</definedName>
    <definedName name="solver_rel11" localSheetId="5" hidden="1">1</definedName>
    <definedName name="solver_rel11" localSheetId="1" hidden="1">2</definedName>
    <definedName name="solver_rel12" localSheetId="3" hidden="1">1</definedName>
    <definedName name="solver_rel12" localSheetId="5" hidden="1">1</definedName>
    <definedName name="solver_rel12" localSheetId="1" hidden="1">2</definedName>
    <definedName name="solver_rel13" localSheetId="3" hidden="1">3</definedName>
    <definedName name="solver_rel13" localSheetId="5" hidden="1">1</definedName>
    <definedName name="solver_rel13" localSheetId="1" hidden="1">2</definedName>
    <definedName name="solver_rel14" localSheetId="3" hidden="1">2</definedName>
    <definedName name="solver_rel14" localSheetId="5" hidden="1">3</definedName>
    <definedName name="solver_rel14" localSheetId="1" hidden="1">2</definedName>
    <definedName name="solver_rel15" localSheetId="3" hidden="1">1</definedName>
    <definedName name="solver_rel15" localSheetId="5" hidden="1">2</definedName>
    <definedName name="solver_rel15" localSheetId="1" hidden="1">2</definedName>
    <definedName name="solver_rel16" localSheetId="3" hidden="1">3</definedName>
    <definedName name="solver_rel16" localSheetId="5" hidden="1">3</definedName>
    <definedName name="solver_rel16" localSheetId="1" hidden="1">2</definedName>
    <definedName name="solver_rel17" localSheetId="3" hidden="1">2</definedName>
    <definedName name="solver_rel17" localSheetId="5" hidden="1">1</definedName>
    <definedName name="solver_rel17" localSheetId="1" hidden="1">2</definedName>
    <definedName name="solver_rel18" localSheetId="3" hidden="1">3</definedName>
    <definedName name="solver_rel18" localSheetId="5" hidden="1">2</definedName>
    <definedName name="solver_rel18" localSheetId="1" hidden="1">2</definedName>
    <definedName name="solver_rel19" localSheetId="3" hidden="1">2</definedName>
    <definedName name="solver_rel19" localSheetId="5" hidden="1">3</definedName>
    <definedName name="solver_rel19" localSheetId="1" hidden="1">2</definedName>
    <definedName name="solver_rel2" localSheetId="3" hidden="1">3</definedName>
    <definedName name="solver_rel2" localSheetId="5" hidden="1">3</definedName>
    <definedName name="solver_rel2" localSheetId="1" hidden="1">2</definedName>
    <definedName name="solver_rel20" localSheetId="3" hidden="1">1</definedName>
    <definedName name="solver_rel20" localSheetId="5" hidden="1">3</definedName>
    <definedName name="solver_rel21" localSheetId="3" hidden="1">3</definedName>
    <definedName name="solver_rel21" localSheetId="5" hidden="1">3</definedName>
    <definedName name="solver_rel22" localSheetId="3" hidden="1">3</definedName>
    <definedName name="solver_rel22" localSheetId="5" hidden="1">1</definedName>
    <definedName name="solver_rel23" localSheetId="3" hidden="1">1</definedName>
    <definedName name="solver_rel23" localSheetId="5" hidden="1">3</definedName>
    <definedName name="solver_rel24" localSheetId="3" hidden="1">1</definedName>
    <definedName name="solver_rel24" localSheetId="5" hidden="1">1</definedName>
    <definedName name="solver_rel25" localSheetId="3" hidden="1">1</definedName>
    <definedName name="solver_rel25" localSheetId="5" hidden="1">1</definedName>
    <definedName name="solver_rel26" localSheetId="3" hidden="1">3</definedName>
    <definedName name="solver_rel26" localSheetId="5" hidden="1">1</definedName>
    <definedName name="solver_rel27" localSheetId="3" hidden="1">3</definedName>
    <definedName name="solver_rel27" localSheetId="5" hidden="1">1</definedName>
    <definedName name="solver_rel28" localSheetId="3" hidden="1">3</definedName>
    <definedName name="solver_rel28" localSheetId="5" hidden="1">1</definedName>
    <definedName name="solver_rel29" localSheetId="3" hidden="1">1</definedName>
    <definedName name="solver_rel29" localSheetId="5" hidden="1">3</definedName>
    <definedName name="solver_rel3" localSheetId="3" hidden="1">1</definedName>
    <definedName name="solver_rel3" localSheetId="5" hidden="1">1</definedName>
    <definedName name="solver_rel3" localSheetId="1" hidden="1">2</definedName>
    <definedName name="solver_rel30" localSheetId="3" hidden="1">1</definedName>
    <definedName name="solver_rel30" localSheetId="5" hidden="1">2</definedName>
    <definedName name="solver_rel31" localSheetId="3" hidden="1">3</definedName>
    <definedName name="solver_rel31" localSheetId="5" hidden="1">3</definedName>
    <definedName name="solver_rel32" localSheetId="3" hidden="1">3</definedName>
    <definedName name="solver_rel32" localSheetId="5" hidden="1">3</definedName>
    <definedName name="solver_rel33" localSheetId="3" hidden="1">2</definedName>
    <definedName name="solver_rel33" localSheetId="5" hidden="1">1</definedName>
    <definedName name="solver_rel34" localSheetId="3" hidden="1">3</definedName>
    <definedName name="solver_rel34" localSheetId="5" hidden="1">1</definedName>
    <definedName name="solver_rel35" localSheetId="3" hidden="1">1</definedName>
    <definedName name="solver_rel35" localSheetId="5" hidden="1">3</definedName>
    <definedName name="solver_rel36" localSheetId="3" hidden="1">1</definedName>
    <definedName name="solver_rel36" localSheetId="5" hidden="1">3</definedName>
    <definedName name="solver_rel37" localSheetId="3" hidden="1">1</definedName>
    <definedName name="solver_rel37" localSheetId="5" hidden="1">3</definedName>
    <definedName name="solver_rel38" localSheetId="3" hidden="1">1</definedName>
    <definedName name="solver_rel38" localSheetId="5" hidden="1">1</definedName>
    <definedName name="solver_rel39" localSheetId="3" hidden="1">1</definedName>
    <definedName name="solver_rel39" localSheetId="5" hidden="1">1</definedName>
    <definedName name="solver_rel4" localSheetId="3" hidden="1">3</definedName>
    <definedName name="solver_rel4" localSheetId="5" hidden="1">3</definedName>
    <definedName name="solver_rel4" localSheetId="1" hidden="1">2</definedName>
    <definedName name="solver_rel5" localSheetId="3" hidden="1">1</definedName>
    <definedName name="solver_rel5" localSheetId="5" hidden="1">3</definedName>
    <definedName name="solver_rel5" localSheetId="1" hidden="1">2</definedName>
    <definedName name="solver_rel6" localSheetId="3" hidden="1">3</definedName>
    <definedName name="solver_rel6" localSheetId="5" hidden="1">1</definedName>
    <definedName name="solver_rel6" localSheetId="1" hidden="1">2</definedName>
    <definedName name="solver_rel7" localSheetId="3" hidden="1">1</definedName>
    <definedName name="solver_rel7" localSheetId="5" hidden="1">2</definedName>
    <definedName name="solver_rel7" localSheetId="1" hidden="1">2</definedName>
    <definedName name="solver_rel8" localSheetId="3" hidden="1">1</definedName>
    <definedName name="solver_rel8" localSheetId="5" hidden="1">3</definedName>
    <definedName name="solver_rel8" localSheetId="1" hidden="1">2</definedName>
    <definedName name="solver_rel9" localSheetId="3" hidden="1">3</definedName>
    <definedName name="solver_rel9" localSheetId="5" hidden="1">3</definedName>
    <definedName name="solver_rel9" localSheetId="1" hidden="1">2</definedName>
    <definedName name="solver_rhs1" localSheetId="3" hidden="1">2500</definedName>
    <definedName name="solver_rhs1" localSheetId="5" hidden="1">2500</definedName>
    <definedName name="solver_rhs1" localSheetId="1" hidden="1">0</definedName>
    <definedName name="solver_rhs10" localSheetId="3" hidden="1">500</definedName>
    <definedName name="solver_rhs10" localSheetId="5" hidden="1">800</definedName>
    <definedName name="solver_rhs10" localSheetId="1" hidden="1">0</definedName>
    <definedName name="solver_rhs11" localSheetId="3" hidden="1">1000</definedName>
    <definedName name="solver_rhs11" localSheetId="5" hidden="1">'Billettpris (2)'!$I$34</definedName>
    <definedName name="solver_rhs11" localSheetId="1" hidden="1">1</definedName>
    <definedName name="solver_rhs12" localSheetId="3" hidden="1">800</definedName>
    <definedName name="solver_rhs12" localSheetId="5" hidden="1">800</definedName>
    <definedName name="solver_rhs12" localSheetId="1" hidden="1">0</definedName>
    <definedName name="solver_rhs13" localSheetId="3" hidden="1">500</definedName>
    <definedName name="solver_rhs13" localSheetId="5" hidden="1">2500</definedName>
    <definedName name="solver_rhs13" localSheetId="1" hidden="1">1</definedName>
    <definedName name="solver_rhs14" localSheetId="3" hidden="1">0</definedName>
    <definedName name="solver_rhs14" localSheetId="5" hidden="1">500</definedName>
    <definedName name="solver_rhs14" localSheetId="1" hidden="1">1</definedName>
    <definedName name="solver_rhs15" localSheetId="3" hidden="1">500</definedName>
    <definedName name="solver_rhs15" localSheetId="5" hidden="1">0</definedName>
    <definedName name="solver_rhs15" localSheetId="1" hidden="1">1</definedName>
    <definedName name="solver_rhs16" localSheetId="3" hidden="1">300</definedName>
    <definedName name="solver_rhs16" localSheetId="5" hidden="1">300</definedName>
    <definedName name="solver_rhs16" localSheetId="1" hidden="1">1</definedName>
    <definedName name="solver_rhs17" localSheetId="3" hidden="1">0</definedName>
    <definedName name="solver_rhs17" localSheetId="5" hidden="1">500</definedName>
    <definedName name="solver_rhs17" localSheetId="1" hidden="1">1</definedName>
    <definedName name="solver_rhs18" localSheetId="3" hidden="1">500</definedName>
    <definedName name="solver_rhs18" localSheetId="5" hidden="1">0</definedName>
    <definedName name="solver_rhs18" localSheetId="1" hidden="1">1</definedName>
    <definedName name="solver_rhs19" localSheetId="3" hidden="1">0</definedName>
    <definedName name="solver_rhs19" localSheetId="5" hidden="1">1000</definedName>
    <definedName name="solver_rhs19" localSheetId="1" hidden="1">1</definedName>
    <definedName name="solver_rhs2" localSheetId="3" hidden="1">1000</definedName>
    <definedName name="solver_rhs2" localSheetId="5" hidden="1">1000</definedName>
    <definedName name="solver_rhs2" localSheetId="1" hidden="1">1</definedName>
    <definedName name="solver_rhs20" localSheetId="3" hidden="1">500</definedName>
    <definedName name="solver_rhs20" localSheetId="5" hidden="1">500</definedName>
    <definedName name="solver_rhs21" localSheetId="3" hidden="1">300</definedName>
    <definedName name="solver_rhs21" localSheetId="5" hidden="1">500</definedName>
    <definedName name="solver_rhs22" localSheetId="3" hidden="1">500</definedName>
    <definedName name="solver_rhs22" localSheetId="5" hidden="1">2500</definedName>
    <definedName name="solver_rhs23" localSheetId="3" hidden="1">800</definedName>
    <definedName name="solver_rhs23" localSheetId="5" hidden="1">500</definedName>
    <definedName name="solver_rhs24" localSheetId="3" hidden="1">800</definedName>
    <definedName name="solver_rhs24" localSheetId="5" hidden="1">2500</definedName>
    <definedName name="solver_rhs25" localSheetId="3" hidden="1">500</definedName>
    <definedName name="solver_rhs25" localSheetId="5" hidden="1">800</definedName>
    <definedName name="solver_rhs26" localSheetId="3" hidden="1">300</definedName>
    <definedName name="solver_rhs26" localSheetId="5" hidden="1">500</definedName>
    <definedName name="solver_rhs27" localSheetId="3" hidden="1">500</definedName>
    <definedName name="solver_rhs27" localSheetId="5" hidden="1">500</definedName>
    <definedName name="solver_rhs28" localSheetId="3" hidden="1">300</definedName>
    <definedName name="solver_rhs28" localSheetId="5" hidden="1">500</definedName>
    <definedName name="solver_rhs29" localSheetId="3" hidden="1">500</definedName>
    <definedName name="solver_rhs29" localSheetId="5" hidden="1">300</definedName>
    <definedName name="solver_rhs3" localSheetId="3" hidden="1">2500</definedName>
    <definedName name="solver_rhs3" localSheetId="5" hidden="1">800</definedName>
    <definedName name="solver_rhs3" localSheetId="1" hidden="1">0</definedName>
    <definedName name="solver_rhs30" localSheetId="3" hidden="1">800</definedName>
    <definedName name="solver_rhs30" localSheetId="5" hidden="1">0</definedName>
    <definedName name="solver_rhs31" localSheetId="3" hidden="1">300</definedName>
    <definedName name="solver_rhs31" localSheetId="5" hidden="1">1000</definedName>
    <definedName name="solver_rhs32" localSheetId="3" hidden="1">300</definedName>
    <definedName name="solver_rhs32" localSheetId="5" hidden="1">300</definedName>
    <definedName name="solver_rhs33" localSheetId="3" hidden="1">0</definedName>
    <definedName name="solver_rhs33" localSheetId="5" hidden="1">500</definedName>
    <definedName name="solver_rhs34" localSheetId="3" hidden="1">300</definedName>
    <definedName name="solver_rhs34" localSheetId="5" hidden="1">800</definedName>
    <definedName name="solver_rhs35" localSheetId="3" hidden="1">500</definedName>
    <definedName name="solver_rhs35" localSheetId="5" hidden="1">300</definedName>
    <definedName name="solver_rhs36" localSheetId="3" hidden="1">500</definedName>
    <definedName name="solver_rhs36" localSheetId="5" hidden="1">500</definedName>
    <definedName name="solver_rhs37" localSheetId="3" hidden="1">800</definedName>
    <definedName name="solver_rhs37" localSheetId="5" hidden="1">1000</definedName>
    <definedName name="solver_rhs38" localSheetId="3" hidden="1">Billettpris!$I$34</definedName>
    <definedName name="solver_rhs38" localSheetId="5" hidden="1">800</definedName>
    <definedName name="solver_rhs39" localSheetId="3" hidden="1">Billettpris!$I$34</definedName>
    <definedName name="solver_rhs39" localSheetId="5" hidden="1">'Billettpris (2)'!$I$34</definedName>
    <definedName name="solver_rhs4" localSheetId="3" hidden="1">1000</definedName>
    <definedName name="solver_rhs4" localSheetId="5" hidden="1">500</definedName>
    <definedName name="solver_rhs4" localSheetId="1" hidden="1">1</definedName>
    <definedName name="solver_rhs5" localSheetId="3" hidden="1">2500</definedName>
    <definedName name="solver_rhs5" localSheetId="5" hidden="1">300</definedName>
    <definedName name="solver_rhs5" localSheetId="1" hidden="1">0</definedName>
    <definedName name="solver_rhs6" localSheetId="3" hidden="1">1000</definedName>
    <definedName name="solver_rhs6" localSheetId="5" hidden="1">500</definedName>
    <definedName name="solver_rhs6" localSheetId="1" hidden="1">1</definedName>
    <definedName name="solver_rhs7" localSheetId="3" hidden="1">800</definedName>
    <definedName name="solver_rhs7" localSheetId="5" hidden="1">0</definedName>
    <definedName name="solver_rhs7" localSheetId="1" hidden="1">0</definedName>
    <definedName name="solver_rhs8" localSheetId="3" hidden="1">2500</definedName>
    <definedName name="solver_rhs8" localSheetId="5" hidden="1">300</definedName>
    <definedName name="solver_rhs8" localSheetId="1" hidden="1">0</definedName>
    <definedName name="solver_rhs9" localSheetId="3" hidden="1">500</definedName>
    <definedName name="solver_rhs9" localSheetId="5" hidden="1">300</definedName>
    <definedName name="solver_rhs9" localSheetId="1" hidden="1">1</definedName>
    <definedName name="solver_rlx" localSheetId="3" hidden="1">2</definedName>
    <definedName name="solver_rlx" localSheetId="5" hidden="1">2</definedName>
    <definedName name="solver_rlx" localSheetId="1" hidden="1">2</definedName>
    <definedName name="solver_rsd" localSheetId="3" hidden="1">0</definedName>
    <definedName name="solver_rsd" localSheetId="5" hidden="1">0</definedName>
    <definedName name="solver_rsd" localSheetId="1" hidden="1">0</definedName>
    <definedName name="solver_scl" localSheetId="3" hidden="1">1</definedName>
    <definedName name="solver_scl" localSheetId="5" hidden="1">1</definedName>
    <definedName name="solver_scl" localSheetId="1" hidden="1">1</definedName>
    <definedName name="solver_sho" localSheetId="3" hidden="1">2</definedName>
    <definedName name="solver_sho" localSheetId="5" hidden="1">2</definedName>
    <definedName name="solver_sho" localSheetId="1" hidden="1">2</definedName>
    <definedName name="solver_ssz" localSheetId="3" hidden="1">100</definedName>
    <definedName name="solver_ssz" localSheetId="5" hidden="1">100</definedName>
    <definedName name="solver_ssz" localSheetId="1" hidden="1">100</definedName>
    <definedName name="solver_tim" localSheetId="3" hidden="1">2147483647</definedName>
    <definedName name="solver_tim" localSheetId="5" hidden="1">2147483647</definedName>
    <definedName name="solver_tim" localSheetId="1" hidden="1">2147483647</definedName>
    <definedName name="solver_tol" localSheetId="3" hidden="1">0.01</definedName>
    <definedName name="solver_tol" localSheetId="5" hidden="1">0.01</definedName>
    <definedName name="solver_tol" localSheetId="1" hidden="1">0.01</definedName>
    <definedName name="solver_typ" localSheetId="3" hidden="1">1</definedName>
    <definedName name="solver_typ" localSheetId="5" hidden="1">1</definedName>
    <definedName name="solver_typ" localSheetId="1" hidden="1">2</definedName>
    <definedName name="solver_val" localSheetId="3" hidden="1">0</definedName>
    <definedName name="solver_val" localSheetId="5" hidden="1">0</definedName>
    <definedName name="solver_val" localSheetId="1" hidden="1">0</definedName>
    <definedName name="solver_ver" localSheetId="3" hidden="1">3</definedName>
    <definedName name="solver_ver" localSheetId="5" hidden="1">3</definedName>
    <definedName name="solver_ver" localSheetId="1" hidden="1">2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2" i="9" l="1"/>
  <c r="E31" i="9"/>
  <c r="E42" i="9" s="1"/>
  <c r="D31" i="9"/>
  <c r="D42" i="9" s="1"/>
  <c r="C31" i="9"/>
  <c r="E30" i="9"/>
  <c r="D30" i="9"/>
  <c r="D41" i="9" s="1"/>
  <c r="C30" i="9"/>
  <c r="C41" i="9" s="1"/>
  <c r="E29" i="9"/>
  <c r="E40" i="9" s="1"/>
  <c r="D29" i="9"/>
  <c r="D40" i="9" s="1"/>
  <c r="C29" i="9"/>
  <c r="E28" i="9"/>
  <c r="D28" i="9"/>
  <c r="D39" i="9" s="1"/>
  <c r="C28" i="9"/>
  <c r="C39" i="9" s="1"/>
  <c r="D27" i="9"/>
  <c r="C27" i="9"/>
  <c r="E26" i="9"/>
  <c r="D26" i="9"/>
  <c r="D37" i="9" s="1"/>
  <c r="C26" i="9"/>
  <c r="K9" i="9"/>
  <c r="J9" i="9"/>
  <c r="I9" i="9"/>
  <c r="F9" i="9"/>
  <c r="K8" i="9"/>
  <c r="J8" i="9"/>
  <c r="I8" i="9"/>
  <c r="F8" i="9"/>
  <c r="K7" i="9"/>
  <c r="J7" i="9"/>
  <c r="I7" i="9"/>
  <c r="F7" i="9"/>
  <c r="K6" i="9"/>
  <c r="J6" i="9"/>
  <c r="I6" i="9"/>
  <c r="F6" i="9"/>
  <c r="J5" i="9"/>
  <c r="I5" i="9"/>
  <c r="E5" i="9"/>
  <c r="K5" i="9" s="1"/>
  <c r="K4" i="9"/>
  <c r="J4" i="9"/>
  <c r="I4" i="9"/>
  <c r="F4" i="9"/>
  <c r="I32" i="3"/>
  <c r="E31" i="3"/>
  <c r="F7" i="3"/>
  <c r="E29" i="1"/>
  <c r="E26" i="3"/>
  <c r="E28" i="3"/>
  <c r="E39" i="3" s="1"/>
  <c r="E29" i="3"/>
  <c r="E40" i="3" s="1"/>
  <c r="D30" i="3"/>
  <c r="C31" i="3"/>
  <c r="C30" i="3"/>
  <c r="C29" i="3"/>
  <c r="C28" i="3"/>
  <c r="C27" i="3"/>
  <c r="D26" i="3"/>
  <c r="D28" i="3"/>
  <c r="D29" i="3"/>
  <c r="D31" i="3"/>
  <c r="E30" i="3"/>
  <c r="E5" i="3"/>
  <c r="E27" i="3" s="1"/>
  <c r="F6" i="3"/>
  <c r="F9" i="3"/>
  <c r="F8" i="3"/>
  <c r="D27" i="3"/>
  <c r="C26" i="3"/>
  <c r="I5" i="3"/>
  <c r="J5" i="3"/>
  <c r="I6" i="3"/>
  <c r="J6" i="3"/>
  <c r="K6" i="3"/>
  <c r="I7" i="3"/>
  <c r="J7" i="3"/>
  <c r="K7" i="3"/>
  <c r="I8" i="3"/>
  <c r="J8" i="3"/>
  <c r="K8" i="3"/>
  <c r="I9" i="3"/>
  <c r="J9" i="3"/>
  <c r="K9" i="3"/>
  <c r="J4" i="3"/>
  <c r="K4" i="3"/>
  <c r="I4" i="3"/>
  <c r="F4" i="3"/>
  <c r="D25" i="1"/>
  <c r="E25" i="1"/>
  <c r="F25" i="1"/>
  <c r="G25" i="1"/>
  <c r="H25" i="1"/>
  <c r="C25" i="1"/>
  <c r="I20" i="1"/>
  <c r="I21" i="1"/>
  <c r="I22" i="1"/>
  <c r="I23" i="1"/>
  <c r="I24" i="1"/>
  <c r="I19" i="1"/>
  <c r="F31" i="9" l="1"/>
  <c r="E37" i="9"/>
  <c r="F30" i="9"/>
  <c r="C32" i="9"/>
  <c r="E41" i="9"/>
  <c r="F41" i="9" s="1"/>
  <c r="E39" i="9"/>
  <c r="F39" i="9" s="1"/>
  <c r="F29" i="9"/>
  <c r="F28" i="9"/>
  <c r="F26" i="9"/>
  <c r="D32" i="9"/>
  <c r="C40" i="9"/>
  <c r="F40" i="9" s="1"/>
  <c r="C42" i="9"/>
  <c r="F42" i="9" s="1"/>
  <c r="C37" i="9"/>
  <c r="E27" i="9"/>
  <c r="F5" i="9"/>
  <c r="C38" i="9" s="1"/>
  <c r="D32" i="3"/>
  <c r="F28" i="3"/>
  <c r="F29" i="3"/>
  <c r="F30" i="3"/>
  <c r="F27" i="3"/>
  <c r="F31" i="3"/>
  <c r="E32" i="3"/>
  <c r="F5" i="3"/>
  <c r="C32" i="3"/>
  <c r="D37" i="3"/>
  <c r="F26" i="3"/>
  <c r="C37" i="3"/>
  <c r="E42" i="3"/>
  <c r="E38" i="3"/>
  <c r="E41" i="3"/>
  <c r="D42" i="3"/>
  <c r="C38" i="3"/>
  <c r="C42" i="3"/>
  <c r="D38" i="3"/>
  <c r="D40" i="3"/>
  <c r="D41" i="3"/>
  <c r="E37" i="3"/>
  <c r="D39" i="3"/>
  <c r="C41" i="3"/>
  <c r="C40" i="3"/>
  <c r="C39" i="3"/>
  <c r="K5" i="3"/>
  <c r="E38" i="9" l="1"/>
  <c r="E43" i="9" s="1"/>
  <c r="F27" i="9"/>
  <c r="F32" i="9" s="1"/>
  <c r="F37" i="9"/>
  <c r="C43" i="9"/>
  <c r="E32" i="9"/>
  <c r="D38" i="9"/>
  <c r="D43" i="9" s="1"/>
  <c r="F32" i="3"/>
  <c r="F39" i="3"/>
  <c r="F41" i="3"/>
  <c r="F37" i="3"/>
  <c r="E43" i="3"/>
  <c r="F38" i="3"/>
  <c r="F42" i="3"/>
  <c r="F40" i="3"/>
  <c r="D43" i="3"/>
  <c r="C43" i="3"/>
  <c r="F38" i="9" l="1"/>
  <c r="F43" i="9" s="1"/>
  <c r="F43" i="3"/>
</calcChain>
</file>

<file path=xl/sharedStrings.xml><?xml version="1.0" encoding="utf-8"?>
<sst xmlns="http://schemas.openxmlformats.org/spreadsheetml/2006/main" count="464" uniqueCount="205">
  <si>
    <t>Kostnad per flybillett</t>
  </si>
  <si>
    <t>Oslo</t>
  </si>
  <si>
    <t>København</t>
  </si>
  <si>
    <t>Stockholm</t>
  </si>
  <si>
    <t>Amsterdam</t>
  </si>
  <si>
    <t>London</t>
  </si>
  <si>
    <t>Munchen</t>
  </si>
  <si>
    <t>Constrains</t>
  </si>
  <si>
    <t>Direktefly =</t>
  </si>
  <si>
    <t>Totalt</t>
  </si>
  <si>
    <t>Kapasitet</t>
  </si>
  <si>
    <t>Fra I Til</t>
  </si>
  <si>
    <t>Reiserute:</t>
  </si>
  <si>
    <t>Oslo - Amsterdam - Stockholm - Munchen - København - London - Oslo</t>
  </si>
  <si>
    <t>=</t>
  </si>
  <si>
    <t>Mellomlandinger / samme by =</t>
  </si>
  <si>
    <t>Totale kostnader flybillett per person:</t>
  </si>
  <si>
    <t>Microsoft Excel 16.82 Følsomhetsrapport</t>
  </si>
  <si>
    <t>Regneark: [Business analytics oppgaven.xlsx]Ark1</t>
  </si>
  <si>
    <t>Rapport opprettet: 28.02.2024 18:50:23</t>
  </si>
  <si>
    <t>Variabelceller</t>
  </si>
  <si>
    <t>Celle</t>
  </si>
  <si>
    <t>Navn</t>
  </si>
  <si>
    <t>Siste</t>
  </si>
  <si>
    <t>Verdi</t>
  </si>
  <si>
    <t>Redusert</t>
  </si>
  <si>
    <t>Kostnad</t>
  </si>
  <si>
    <t>Mål</t>
  </si>
  <si>
    <t>Koeffisient</t>
  </si>
  <si>
    <t>Tillatt</t>
  </si>
  <si>
    <t>Øk</t>
  </si>
  <si>
    <t>Reduser</t>
  </si>
  <si>
    <t>Begrensninger</t>
  </si>
  <si>
    <t>Skygge</t>
  </si>
  <si>
    <t>Pris</t>
  </si>
  <si>
    <t>Begrensning</t>
  </si>
  <si>
    <t>Høyre side</t>
  </si>
  <si>
    <t>$C$19</t>
  </si>
  <si>
    <t>Oslo Oslo</t>
  </si>
  <si>
    <t>$D$19</t>
  </si>
  <si>
    <t>Oslo København</t>
  </si>
  <si>
    <t>$E$19</t>
  </si>
  <si>
    <t>Oslo Stockholm</t>
  </si>
  <si>
    <t>$F$19</t>
  </si>
  <si>
    <t>Oslo London</t>
  </si>
  <si>
    <t>$G$19</t>
  </si>
  <si>
    <t>Oslo Munchen</t>
  </si>
  <si>
    <t>$H$19</t>
  </si>
  <si>
    <t>Oslo Amsterdam</t>
  </si>
  <si>
    <t>$C$20</t>
  </si>
  <si>
    <t>København Oslo</t>
  </si>
  <si>
    <t>$D$20</t>
  </si>
  <si>
    <t>København København</t>
  </si>
  <si>
    <t>$E$20</t>
  </si>
  <si>
    <t>København Stockholm</t>
  </si>
  <si>
    <t>$F$20</t>
  </si>
  <si>
    <t>København London</t>
  </si>
  <si>
    <t>$G$20</t>
  </si>
  <si>
    <t>København Munchen</t>
  </si>
  <si>
    <t>$H$20</t>
  </si>
  <si>
    <t>København Amsterdam</t>
  </si>
  <si>
    <t>$C$21</t>
  </si>
  <si>
    <t>Stockholm Oslo</t>
  </si>
  <si>
    <t>$D$21</t>
  </si>
  <si>
    <t>Stockholm København</t>
  </si>
  <si>
    <t>$E$21</t>
  </si>
  <si>
    <t>Stockholm Stockholm</t>
  </si>
  <si>
    <t>$F$21</t>
  </si>
  <si>
    <t>Stockholm London</t>
  </si>
  <si>
    <t>$G$21</t>
  </si>
  <si>
    <t>Stockholm Munchen</t>
  </si>
  <si>
    <t>$H$21</t>
  </si>
  <si>
    <t>Stockholm Amsterdam</t>
  </si>
  <si>
    <t>$C$22</t>
  </si>
  <si>
    <t>London Oslo</t>
  </si>
  <si>
    <t>$D$22</t>
  </si>
  <si>
    <t>London København</t>
  </si>
  <si>
    <t>$E$22</t>
  </si>
  <si>
    <t>London Stockholm</t>
  </si>
  <si>
    <t>$F$22</t>
  </si>
  <si>
    <t>London London</t>
  </si>
  <si>
    <t>$G$22</t>
  </si>
  <si>
    <t>London Munchen</t>
  </si>
  <si>
    <t>$H$22</t>
  </si>
  <si>
    <t>London Amsterdam</t>
  </si>
  <si>
    <t>$C$23</t>
  </si>
  <si>
    <t>Munchen Oslo</t>
  </si>
  <si>
    <t>$D$23</t>
  </si>
  <si>
    <t>Munchen København</t>
  </si>
  <si>
    <t>$E$23</t>
  </si>
  <si>
    <t>Munchen Stockholm</t>
  </si>
  <si>
    <t>$F$23</t>
  </si>
  <si>
    <t>Munchen London</t>
  </si>
  <si>
    <t>$G$23</t>
  </si>
  <si>
    <t>Munchen Munchen</t>
  </si>
  <si>
    <t>$H$23</t>
  </si>
  <si>
    <t>Munchen Amsterdam</t>
  </si>
  <si>
    <t>$C$24</t>
  </si>
  <si>
    <t>Amsterdam Oslo</t>
  </si>
  <si>
    <t>$D$24</t>
  </si>
  <si>
    <t>Amsterdam København</t>
  </si>
  <si>
    <t>$E$24</t>
  </si>
  <si>
    <t>Amsterdam Stockholm</t>
  </si>
  <si>
    <t>$F$24</t>
  </si>
  <si>
    <t>Amsterdam London</t>
  </si>
  <si>
    <t>$G$24</t>
  </si>
  <si>
    <t>Amsterdam Munchen</t>
  </si>
  <si>
    <t>$H$24</t>
  </si>
  <si>
    <t>Amsterdam Amsterdam</t>
  </si>
  <si>
    <t>$C$25</t>
  </si>
  <si>
    <t>Totalt Oslo</t>
  </si>
  <si>
    <t>$D$25</t>
  </si>
  <si>
    <t>Totalt København</t>
  </si>
  <si>
    <t>$E$25</t>
  </si>
  <si>
    <t>Totalt Stockholm</t>
  </si>
  <si>
    <t>$F$25</t>
  </si>
  <si>
    <t>Totalt London</t>
  </si>
  <si>
    <t>$G$25</t>
  </si>
  <si>
    <t>Totalt Munchen</t>
  </si>
  <si>
    <t>$H$25</t>
  </si>
  <si>
    <t>Totalt Amsterdam</t>
  </si>
  <si>
    <t>$I$19</t>
  </si>
  <si>
    <t>Oslo Totalt</t>
  </si>
  <si>
    <t>$I$20</t>
  </si>
  <si>
    <t>København Totalt</t>
  </si>
  <si>
    <t>$I$21</t>
  </si>
  <si>
    <t>Stockholm Totalt</t>
  </si>
  <si>
    <t>$I$22</t>
  </si>
  <si>
    <t>London Totalt</t>
  </si>
  <si>
    <t>$I$23</t>
  </si>
  <si>
    <t>Munchen Totalt</t>
  </si>
  <si>
    <t>$I$24</t>
  </si>
  <si>
    <t>Amsterdam Totalt</t>
  </si>
  <si>
    <t>Vip</t>
  </si>
  <si>
    <t>Sitteplass</t>
  </si>
  <si>
    <t>Ståplass</t>
  </si>
  <si>
    <t>Etterspørsel</t>
  </si>
  <si>
    <t>Estimert salgspris</t>
  </si>
  <si>
    <t>Profitt</t>
  </si>
  <si>
    <t xml:space="preserve">Kostnad </t>
  </si>
  <si>
    <t>Ja = 1, Nei = 0</t>
  </si>
  <si>
    <t>Sum</t>
  </si>
  <si>
    <t>Total</t>
  </si>
  <si>
    <t>Inntektsmål</t>
  </si>
  <si>
    <t>Inntekt</t>
  </si>
  <si>
    <t>Regneark: [Business analytics oppgaven.xlsx]Billettpris</t>
  </si>
  <si>
    <t>$C$14</t>
  </si>
  <si>
    <t>Oslo Vip</t>
  </si>
  <si>
    <t>$D$14</t>
  </si>
  <si>
    <t>Oslo Sitteplass</t>
  </si>
  <si>
    <t>$E$14</t>
  </si>
  <si>
    <t>Oslo Ståplass</t>
  </si>
  <si>
    <t>$C$15</t>
  </si>
  <si>
    <t>København Vip</t>
  </si>
  <si>
    <t>$D$15</t>
  </si>
  <si>
    <t>København Sitteplass</t>
  </si>
  <si>
    <t>$E$15</t>
  </si>
  <si>
    <t>København Ståplass</t>
  </si>
  <si>
    <t>$C$16</t>
  </si>
  <si>
    <t>Stockholm Vip</t>
  </si>
  <si>
    <t>$D$16</t>
  </si>
  <si>
    <t>Stockholm Sitteplass</t>
  </si>
  <si>
    <t>$E$16</t>
  </si>
  <si>
    <t>Stockholm Ståplass</t>
  </si>
  <si>
    <t>$C$17</t>
  </si>
  <si>
    <t>London Vip</t>
  </si>
  <si>
    <t>$D$17</t>
  </si>
  <si>
    <t>London Sitteplass</t>
  </si>
  <si>
    <t>$E$17</t>
  </si>
  <si>
    <t>London Ståplass</t>
  </si>
  <si>
    <t>$C$18</t>
  </si>
  <si>
    <t>Munchen Vip</t>
  </si>
  <si>
    <t>$D$18</t>
  </si>
  <si>
    <t>Munchen Sitteplass</t>
  </si>
  <si>
    <t>$E$18</t>
  </si>
  <si>
    <t>Munchen Ståplass</t>
  </si>
  <si>
    <t>Amsterdam Vip</t>
  </si>
  <si>
    <t>Amsterdam Sitteplass</t>
  </si>
  <si>
    <t>Amsterdam Ståplass</t>
  </si>
  <si>
    <t>Sum Totalt</t>
  </si>
  <si>
    <t>$C$37</t>
  </si>
  <si>
    <t>$C$42</t>
  </si>
  <si>
    <t>$D$38</t>
  </si>
  <si>
    <t>$F$43</t>
  </si>
  <si>
    <t>Rapport opprettet: 04.03.2024 14:24:33</t>
  </si>
  <si>
    <t>Microsoft Excel 16.0 Sensitivity Report</t>
  </si>
  <si>
    <t>Worksheet: [Business analytics oppgaven (1).xlsx]Billettpris (2)</t>
  </si>
  <si>
    <t>Report Created: 18.03.2024 12:54:38</t>
  </si>
  <si>
    <t>Variable Cells</t>
  </si>
  <si>
    <t>Cell</t>
  </si>
  <si>
    <t>Name</t>
  </si>
  <si>
    <t>Final</t>
  </si>
  <si>
    <t>Value</t>
  </si>
  <si>
    <t>Reduced</t>
  </si>
  <si>
    <t>Cost</t>
  </si>
  <si>
    <t>Objective</t>
  </si>
  <si>
    <t>Coefficient</t>
  </si>
  <si>
    <t>Allowable</t>
  </si>
  <si>
    <t>Increase</t>
  </si>
  <si>
    <t>Decrease</t>
  </si>
  <si>
    <t>Constraints</t>
  </si>
  <si>
    <t>Shadow</t>
  </si>
  <si>
    <t>Price</t>
  </si>
  <si>
    <t>Constraint</t>
  </si>
  <si>
    <t>R.H. 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</si>
</sst>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indexed="1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name val="Aptos Narrow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300"/>
        <bgColor indexed="64"/>
      </patternFill>
    </fill>
    <fill>
      <patternFill patternType="solid">
        <fgColor rgb="FFFFE26C"/>
        <bgColor indexed="64"/>
      </patternFill>
    </fill>
    <fill>
      <patternFill patternType="solid">
        <fgColor rgb="FFFFFDBE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/>
      <right/>
      <top style="thin">
        <color indexed="23"/>
      </top>
      <bottom style="medium">
        <color indexed="23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0" fillId="4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0" fillId="7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13" borderId="0" xfId="0" applyFill="1" applyAlignment="1">
      <alignment horizontal="center"/>
    </xf>
    <xf numFmtId="0" fontId="3" fillId="0" borderId="0" xfId="0" applyFont="1"/>
    <xf numFmtId="0" fontId="3" fillId="12" borderId="0" xfId="0" applyFont="1" applyFill="1" applyAlignment="1">
      <alignment horizontal="center"/>
    </xf>
    <xf numFmtId="0" fontId="3" fillId="10" borderId="0" xfId="0" applyFont="1" applyFill="1"/>
    <xf numFmtId="0" fontId="3" fillId="5" borderId="0" xfId="0" applyFont="1" applyFill="1"/>
    <xf numFmtId="0" fontId="3" fillId="6" borderId="0" xfId="0" applyFont="1" applyFill="1"/>
    <xf numFmtId="0" fontId="3" fillId="3" borderId="0" xfId="0" applyFont="1" applyFill="1" applyAlignment="1">
      <alignment horizontal="center"/>
    </xf>
    <xf numFmtId="0" fontId="3" fillId="2" borderId="0" xfId="0" applyFont="1" applyFill="1" applyAlignment="1">
      <alignment horizontal="left"/>
    </xf>
    <xf numFmtId="0" fontId="2" fillId="15" borderId="0" xfId="0" applyFont="1" applyFill="1"/>
    <xf numFmtId="0" fontId="2" fillId="16" borderId="0" xfId="0" applyFont="1" applyFill="1"/>
    <xf numFmtId="0" fontId="0" fillId="15" borderId="0" xfId="0" applyFill="1"/>
    <xf numFmtId="0" fontId="0" fillId="0" borderId="3" xfId="0" applyBorder="1"/>
    <xf numFmtId="0" fontId="0" fillId="0" borderId="4" xfId="0" applyBorder="1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64" fontId="0" fillId="0" borderId="0" xfId="0" applyNumberFormat="1"/>
    <xf numFmtId="164" fontId="3" fillId="0" borderId="0" xfId="0" applyNumberFormat="1" applyFont="1"/>
    <xf numFmtId="164" fontId="5" fillId="8" borderId="0" xfId="0" applyNumberFormat="1" applyFont="1" applyFill="1"/>
    <xf numFmtId="164" fontId="0" fillId="17" borderId="0" xfId="0" applyNumberFormat="1" applyFill="1"/>
    <xf numFmtId="0" fontId="0" fillId="9" borderId="0" xfId="0" applyFill="1"/>
    <xf numFmtId="164" fontId="0" fillId="9" borderId="0" xfId="0" applyNumberFormat="1" applyFill="1"/>
    <xf numFmtId="164" fontId="0" fillId="18" borderId="0" xfId="0" applyNumberFormat="1" applyFill="1"/>
    <xf numFmtId="0" fontId="0" fillId="11" borderId="0" xfId="0" applyFill="1"/>
    <xf numFmtId="164" fontId="5" fillId="14" borderId="0" xfId="0" applyNumberFormat="1" applyFont="1" applyFill="1"/>
    <xf numFmtId="164" fontId="5" fillId="5" borderId="0" xfId="0" applyNumberFormat="1" applyFont="1" applyFill="1"/>
    <xf numFmtId="164" fontId="0" fillId="6" borderId="0" xfId="0" applyNumberFormat="1" applyFill="1"/>
    <xf numFmtId="164" fontId="0" fillId="7" borderId="0" xfId="0" applyNumberFormat="1" applyFill="1"/>
    <xf numFmtId="164" fontId="6" fillId="0" borderId="0" xfId="0" applyNumberFormat="1" applyFont="1"/>
    <xf numFmtId="164" fontId="0" fillId="20" borderId="0" xfId="0" applyNumberFormat="1" applyFill="1"/>
    <xf numFmtId="164" fontId="0" fillId="21" borderId="0" xfId="0" applyNumberFormat="1" applyFill="1"/>
    <xf numFmtId="164" fontId="5" fillId="19" borderId="0" xfId="0" applyNumberFormat="1" applyFont="1" applyFill="1"/>
    <xf numFmtId="164" fontId="0" fillId="22" borderId="0" xfId="0" applyNumberFormat="1" applyFill="1"/>
    <xf numFmtId="164" fontId="0" fillId="23" borderId="0" xfId="0" applyNumberFormat="1" applyFill="1"/>
    <xf numFmtId="164" fontId="5" fillId="24" borderId="0" xfId="0" applyNumberFormat="1" applyFont="1" applyFill="1"/>
    <xf numFmtId="164" fontId="5" fillId="22" borderId="0" xfId="0" applyNumberFormat="1" applyFont="1" applyFill="1"/>
    <xf numFmtId="164" fontId="7" fillId="19" borderId="0" xfId="0" applyNumberFormat="1" applyFont="1" applyFill="1"/>
    <xf numFmtId="164" fontId="5" fillId="0" borderId="0" xfId="0" applyNumberFormat="1" applyFont="1"/>
    <xf numFmtId="9" fontId="0" fillId="0" borderId="0" xfId="1" applyFont="1" applyFill="1"/>
    <xf numFmtId="0" fontId="0" fillId="25" borderId="3" xfId="0" applyFill="1" applyBorder="1"/>
  </cellXfs>
  <cellStyles count="2">
    <cellStyle name="Normal" xfId="0" builtinId="0"/>
    <cellStyle name="Prosent" xfId="1" builtinId="5"/>
  </cellStyles>
  <dxfs count="0"/>
  <tableStyles count="0" defaultTableStyle="TableStyleMedium2" defaultPivotStyle="PivotStyleLight16"/>
  <colors>
    <mruColors>
      <color rgb="FFFFC300"/>
      <color rgb="FFFFFDBE"/>
      <color rgb="FFFFE26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1D506-3054-3C4D-B8B0-4D280485DD16}">
  <dimension ref="A1:H60"/>
  <sheetViews>
    <sheetView showGridLines="0" topLeftCell="A4" zoomScale="163" workbookViewId="0">
      <selection sqref="A1:A3"/>
    </sheetView>
  </sheetViews>
  <sheetFormatPr baseColWidth="10" defaultColWidth="11.19921875" defaultRowHeight="15.6" x14ac:dyDescent="0.3"/>
  <cols>
    <col min="1" max="1" width="2.296875" customWidth="1"/>
    <col min="2" max="2" width="6.5" bestFit="1" customWidth="1"/>
    <col min="3" max="3" width="20" bestFit="1" customWidth="1"/>
    <col min="4" max="4" width="5.5" bestFit="1" customWidth="1"/>
    <col min="5" max="5" width="8.69921875" bestFit="1" customWidth="1"/>
    <col min="6" max="6" width="11.5" bestFit="1" customWidth="1"/>
    <col min="7" max="7" width="6.19921875" bestFit="1" customWidth="1"/>
    <col min="8" max="8" width="8" bestFit="1" customWidth="1"/>
  </cols>
  <sheetData>
    <row r="1" spans="1:8" x14ac:dyDescent="0.3">
      <c r="A1" s="8" t="s">
        <v>17</v>
      </c>
    </row>
    <row r="2" spans="1:8" x14ac:dyDescent="0.3">
      <c r="A2" s="8" t="s">
        <v>18</v>
      </c>
    </row>
    <row r="3" spans="1:8" x14ac:dyDescent="0.3">
      <c r="A3" s="8" t="s">
        <v>19</v>
      </c>
    </row>
    <row r="6" spans="1:8" ht="16.2" thickBot="1" x14ac:dyDescent="0.35">
      <c r="A6" t="s">
        <v>20</v>
      </c>
    </row>
    <row r="7" spans="1:8" x14ac:dyDescent="0.3">
      <c r="B7" s="20"/>
      <c r="C7" s="20"/>
      <c r="D7" s="20" t="s">
        <v>23</v>
      </c>
      <c r="E7" s="20" t="s">
        <v>25</v>
      </c>
      <c r="F7" s="20" t="s">
        <v>27</v>
      </c>
      <c r="G7" s="20" t="s">
        <v>29</v>
      </c>
      <c r="H7" s="20" t="s">
        <v>29</v>
      </c>
    </row>
    <row r="8" spans="1:8" ht="16.2" thickBot="1" x14ac:dyDescent="0.35">
      <c r="B8" s="21" t="s">
        <v>21</v>
      </c>
      <c r="C8" s="21" t="s">
        <v>22</v>
      </c>
      <c r="D8" s="21" t="s">
        <v>24</v>
      </c>
      <c r="E8" s="21" t="s">
        <v>26</v>
      </c>
      <c r="F8" s="21" t="s">
        <v>28</v>
      </c>
      <c r="G8" s="21" t="s">
        <v>30</v>
      </c>
      <c r="H8" s="21" t="s">
        <v>31</v>
      </c>
    </row>
    <row r="9" spans="1:8" x14ac:dyDescent="0.3">
      <c r="B9" s="18" t="s">
        <v>37</v>
      </c>
      <c r="C9" s="18" t="s">
        <v>38</v>
      </c>
      <c r="D9" s="18">
        <v>0</v>
      </c>
      <c r="E9" s="18">
        <v>-1123</v>
      </c>
      <c r="F9" s="18">
        <v>0</v>
      </c>
      <c r="G9" s="18">
        <v>1E+30</v>
      </c>
      <c r="H9" s="18">
        <v>1123</v>
      </c>
    </row>
    <row r="10" spans="1:8" x14ac:dyDescent="0.3">
      <c r="B10" s="18" t="s">
        <v>39</v>
      </c>
      <c r="C10" s="18" t="s">
        <v>40</v>
      </c>
      <c r="D10" s="18">
        <v>0</v>
      </c>
      <c r="E10" s="18">
        <v>351</v>
      </c>
      <c r="F10" s="18">
        <v>1599</v>
      </c>
      <c r="G10" s="18">
        <v>1E+30</v>
      </c>
      <c r="H10" s="18">
        <v>351</v>
      </c>
    </row>
    <row r="11" spans="1:8" x14ac:dyDescent="0.3">
      <c r="B11" s="18" t="s">
        <v>41</v>
      </c>
      <c r="C11" s="18" t="s">
        <v>42</v>
      </c>
      <c r="D11" s="18">
        <v>0</v>
      </c>
      <c r="E11" s="18">
        <v>315</v>
      </c>
      <c r="F11" s="18">
        <v>1449</v>
      </c>
      <c r="G11" s="18">
        <v>1E+30</v>
      </c>
      <c r="H11" s="18">
        <v>315</v>
      </c>
    </row>
    <row r="12" spans="1:8" x14ac:dyDescent="0.3">
      <c r="B12" s="18" t="s">
        <v>43</v>
      </c>
      <c r="C12" s="18" t="s">
        <v>44</v>
      </c>
      <c r="D12" s="18">
        <v>0</v>
      </c>
      <c r="E12" s="18">
        <v>0</v>
      </c>
      <c r="F12" s="18">
        <v>2329</v>
      </c>
      <c r="G12" s="18">
        <v>315</v>
      </c>
      <c r="H12" s="18">
        <v>42</v>
      </c>
    </row>
    <row r="13" spans="1:8" x14ac:dyDescent="0.3">
      <c r="B13" s="18" t="s">
        <v>45</v>
      </c>
      <c r="C13" s="18" t="s">
        <v>46</v>
      </c>
      <c r="D13" s="18">
        <v>0</v>
      </c>
      <c r="E13" s="18">
        <v>0</v>
      </c>
      <c r="F13" s="18">
        <v>5969</v>
      </c>
      <c r="G13" s="18">
        <v>875</v>
      </c>
      <c r="H13" s="18">
        <v>681</v>
      </c>
    </row>
    <row r="14" spans="1:8" x14ac:dyDescent="0.3">
      <c r="B14" s="18" t="s">
        <v>47</v>
      </c>
      <c r="C14" s="18" t="s">
        <v>48</v>
      </c>
      <c r="D14" s="18">
        <v>1</v>
      </c>
      <c r="E14" s="18">
        <v>0</v>
      </c>
      <c r="F14" s="18">
        <v>1779</v>
      </c>
      <c r="G14" s="18">
        <v>42</v>
      </c>
      <c r="H14" s="18">
        <v>1E+30</v>
      </c>
    </row>
    <row r="15" spans="1:8" x14ac:dyDescent="0.3">
      <c r="B15" s="18" t="s">
        <v>49</v>
      </c>
      <c r="C15" s="18" t="s">
        <v>50</v>
      </c>
      <c r="D15" s="18">
        <v>0</v>
      </c>
      <c r="E15" s="18">
        <v>1250</v>
      </c>
      <c r="F15" s="18">
        <v>2463</v>
      </c>
      <c r="G15" s="18">
        <v>1E+30</v>
      </c>
      <c r="H15" s="18">
        <v>1250</v>
      </c>
    </row>
    <row r="16" spans="1:8" x14ac:dyDescent="0.3">
      <c r="B16" s="18" t="s">
        <v>51</v>
      </c>
      <c r="C16" s="18" t="s">
        <v>52</v>
      </c>
      <c r="D16" s="18">
        <v>0</v>
      </c>
      <c r="E16" s="18">
        <v>-1338</v>
      </c>
      <c r="F16" s="18">
        <v>0</v>
      </c>
      <c r="G16" s="18">
        <v>1E+30</v>
      </c>
      <c r="H16" s="18">
        <v>1338</v>
      </c>
    </row>
    <row r="17" spans="2:8" x14ac:dyDescent="0.3">
      <c r="B17" s="18" t="s">
        <v>53</v>
      </c>
      <c r="C17" s="18" t="s">
        <v>54</v>
      </c>
      <c r="D17" s="18">
        <v>0</v>
      </c>
      <c r="E17" s="18">
        <v>0</v>
      </c>
      <c r="F17" s="18">
        <v>1224</v>
      </c>
      <c r="G17" s="18">
        <v>315</v>
      </c>
      <c r="H17" s="18">
        <v>42</v>
      </c>
    </row>
    <row r="18" spans="2:8" x14ac:dyDescent="0.3">
      <c r="B18" s="18" t="s">
        <v>55</v>
      </c>
      <c r="C18" s="18" t="s">
        <v>56</v>
      </c>
      <c r="D18" s="18">
        <v>1</v>
      </c>
      <c r="E18" s="18">
        <v>0</v>
      </c>
      <c r="F18" s="18">
        <v>2419</v>
      </c>
      <c r="G18" s="18">
        <v>42</v>
      </c>
      <c r="H18" s="18">
        <v>315</v>
      </c>
    </row>
    <row r="19" spans="2:8" x14ac:dyDescent="0.3">
      <c r="B19" s="18" t="s">
        <v>57</v>
      </c>
      <c r="C19" s="18" t="s">
        <v>58</v>
      </c>
      <c r="D19" s="18">
        <v>0</v>
      </c>
      <c r="E19" s="18">
        <v>987</v>
      </c>
      <c r="F19" s="18">
        <v>7046</v>
      </c>
      <c r="G19" s="18">
        <v>1E+30</v>
      </c>
      <c r="H19" s="18">
        <v>987</v>
      </c>
    </row>
    <row r="20" spans="2:8" x14ac:dyDescent="0.3">
      <c r="B20" s="18" t="s">
        <v>59</v>
      </c>
      <c r="C20" s="18" t="s">
        <v>60</v>
      </c>
      <c r="D20" s="18">
        <v>0</v>
      </c>
      <c r="E20" s="18">
        <v>259</v>
      </c>
      <c r="F20" s="18">
        <v>2128</v>
      </c>
      <c r="G20" s="18">
        <v>1E+30</v>
      </c>
      <c r="H20" s="18">
        <v>259</v>
      </c>
    </row>
    <row r="21" spans="2:8" x14ac:dyDescent="0.3">
      <c r="B21" s="18" t="s">
        <v>61</v>
      </c>
      <c r="C21" s="18" t="s">
        <v>62</v>
      </c>
      <c r="D21" s="18">
        <v>0</v>
      </c>
      <c r="E21" s="18">
        <v>1908</v>
      </c>
      <c r="F21" s="18">
        <v>1216</v>
      </c>
      <c r="G21" s="18">
        <v>1E+30</v>
      </c>
      <c r="H21" s="18">
        <v>1908</v>
      </c>
    </row>
    <row r="22" spans="2:8" x14ac:dyDescent="0.3">
      <c r="B22" s="18" t="s">
        <v>63</v>
      </c>
      <c r="C22" s="18" t="s">
        <v>64</v>
      </c>
      <c r="D22" s="18">
        <v>0</v>
      </c>
      <c r="E22" s="18">
        <v>2407</v>
      </c>
      <c r="F22" s="18">
        <v>1840</v>
      </c>
      <c r="G22" s="18">
        <v>1E+30</v>
      </c>
      <c r="H22" s="18">
        <v>2407</v>
      </c>
    </row>
    <row r="23" spans="2:8" x14ac:dyDescent="0.3">
      <c r="B23" s="18" t="s">
        <v>65</v>
      </c>
      <c r="C23" s="18" t="s">
        <v>66</v>
      </c>
      <c r="D23" s="18">
        <v>0</v>
      </c>
      <c r="E23" s="18">
        <v>681</v>
      </c>
      <c r="F23" s="18">
        <v>0</v>
      </c>
      <c r="G23" s="18">
        <v>1E+30</v>
      </c>
      <c r="H23" s="18">
        <v>681</v>
      </c>
    </row>
    <row r="24" spans="2:8" x14ac:dyDescent="0.3">
      <c r="B24" s="18" t="s">
        <v>67</v>
      </c>
      <c r="C24" s="18" t="s">
        <v>68</v>
      </c>
      <c r="D24" s="18">
        <v>0</v>
      </c>
      <c r="E24" s="18">
        <v>1368</v>
      </c>
      <c r="F24" s="18">
        <v>1882</v>
      </c>
      <c r="G24" s="18">
        <v>1E+30</v>
      </c>
      <c r="H24" s="18">
        <v>1368</v>
      </c>
    </row>
    <row r="25" spans="2:8" x14ac:dyDescent="0.3">
      <c r="B25" s="18" t="s">
        <v>69</v>
      </c>
      <c r="C25" s="18" t="s">
        <v>70</v>
      </c>
      <c r="D25" s="18">
        <v>1</v>
      </c>
      <c r="E25" s="18">
        <v>0</v>
      </c>
      <c r="F25" s="18">
        <v>4154</v>
      </c>
      <c r="G25" s="18">
        <v>681</v>
      </c>
      <c r="H25" s="18">
        <v>1E+30</v>
      </c>
    </row>
    <row r="26" spans="2:8" x14ac:dyDescent="0.3">
      <c r="B26" s="18" t="s">
        <v>71</v>
      </c>
      <c r="C26" s="18" t="s">
        <v>72</v>
      </c>
      <c r="D26" s="18">
        <v>0</v>
      </c>
      <c r="E26" s="18">
        <v>1559</v>
      </c>
      <c r="F26" s="18">
        <v>1523</v>
      </c>
      <c r="G26" s="18">
        <v>1E+30</v>
      </c>
      <c r="H26" s="18">
        <v>1559</v>
      </c>
    </row>
    <row r="27" spans="2:8" x14ac:dyDescent="0.3">
      <c r="B27" s="18" t="s">
        <v>73</v>
      </c>
      <c r="C27" s="18" t="s">
        <v>74</v>
      </c>
      <c r="D27" s="18">
        <v>1</v>
      </c>
      <c r="E27" s="18">
        <v>0</v>
      </c>
      <c r="F27" s="18">
        <v>1883</v>
      </c>
      <c r="G27" s="18">
        <v>3</v>
      </c>
      <c r="H27" s="18">
        <v>1E+30</v>
      </c>
    </row>
    <row r="28" spans="2:8" x14ac:dyDescent="0.3">
      <c r="B28" s="18" t="s">
        <v>75</v>
      </c>
      <c r="C28" s="18" t="s">
        <v>76</v>
      </c>
      <c r="D28" s="18">
        <v>0</v>
      </c>
      <c r="E28" s="18">
        <v>650</v>
      </c>
      <c r="F28" s="18">
        <v>2658</v>
      </c>
      <c r="G28" s="18">
        <v>1E+30</v>
      </c>
      <c r="H28" s="18">
        <v>650</v>
      </c>
    </row>
    <row r="29" spans="2:8" x14ac:dyDescent="0.3">
      <c r="B29" s="18" t="s">
        <v>77</v>
      </c>
      <c r="C29" s="18" t="s">
        <v>78</v>
      </c>
      <c r="D29" s="18">
        <v>0</v>
      </c>
      <c r="E29" s="18">
        <v>3</v>
      </c>
      <c r="F29" s="18">
        <v>1897</v>
      </c>
      <c r="G29" s="18">
        <v>1E+30</v>
      </c>
      <c r="H29" s="18">
        <v>3</v>
      </c>
    </row>
    <row r="30" spans="2:8" x14ac:dyDescent="0.3">
      <c r="B30" s="18" t="s">
        <v>79</v>
      </c>
      <c r="C30" s="18" t="s">
        <v>80</v>
      </c>
      <c r="D30" s="18">
        <v>0</v>
      </c>
      <c r="E30" s="18">
        <v>-3089</v>
      </c>
      <c r="F30" s="18">
        <v>0</v>
      </c>
      <c r="G30" s="18">
        <v>1E+30</v>
      </c>
      <c r="H30" s="18">
        <v>3089</v>
      </c>
    </row>
    <row r="31" spans="2:8" x14ac:dyDescent="0.3">
      <c r="B31" s="18" t="s">
        <v>81</v>
      </c>
      <c r="C31" s="18" t="s">
        <v>82</v>
      </c>
      <c r="D31" s="18">
        <v>0</v>
      </c>
      <c r="E31" s="18">
        <v>-875</v>
      </c>
      <c r="F31" s="18">
        <v>5854</v>
      </c>
      <c r="G31" s="18">
        <v>1E+30</v>
      </c>
      <c r="H31" s="18">
        <v>875</v>
      </c>
    </row>
    <row r="32" spans="2:8" x14ac:dyDescent="0.3">
      <c r="B32" s="18" t="s">
        <v>83</v>
      </c>
      <c r="C32" s="18" t="s">
        <v>84</v>
      </c>
      <c r="D32" s="18">
        <v>0</v>
      </c>
      <c r="E32" s="18">
        <v>1048</v>
      </c>
      <c r="F32" s="18">
        <v>3587</v>
      </c>
      <c r="G32" s="18">
        <v>1E+30</v>
      </c>
      <c r="H32" s="18">
        <v>1048</v>
      </c>
    </row>
    <row r="33" spans="1:8" x14ac:dyDescent="0.3">
      <c r="B33" s="18" t="s">
        <v>85</v>
      </c>
      <c r="C33" s="18" t="s">
        <v>86</v>
      </c>
      <c r="D33" s="18">
        <v>0</v>
      </c>
      <c r="E33" s="18">
        <v>422</v>
      </c>
      <c r="F33" s="18">
        <v>5553</v>
      </c>
      <c r="G33" s="18">
        <v>1E+30</v>
      </c>
      <c r="H33" s="18">
        <v>422</v>
      </c>
    </row>
    <row r="34" spans="1:8" x14ac:dyDescent="0.3">
      <c r="B34" s="18" t="s">
        <v>87</v>
      </c>
      <c r="C34" s="18" t="s">
        <v>88</v>
      </c>
      <c r="D34" s="18">
        <v>1</v>
      </c>
      <c r="E34" s="18">
        <v>0</v>
      </c>
      <c r="F34" s="18">
        <v>5256</v>
      </c>
      <c r="G34" s="18">
        <v>42</v>
      </c>
      <c r="H34" s="18">
        <v>1E+30</v>
      </c>
    </row>
    <row r="35" spans="1:8" x14ac:dyDescent="0.3">
      <c r="B35" s="18" t="s">
        <v>89</v>
      </c>
      <c r="C35" s="18" t="s">
        <v>90</v>
      </c>
      <c r="D35" s="18">
        <v>0</v>
      </c>
      <c r="E35" s="18">
        <v>3939</v>
      </c>
      <c r="F35" s="18">
        <v>9081</v>
      </c>
      <c r="G35" s="18">
        <v>1E+30</v>
      </c>
      <c r="H35" s="18">
        <v>3939</v>
      </c>
    </row>
    <row r="36" spans="1:8" x14ac:dyDescent="0.3">
      <c r="B36" s="18" t="s">
        <v>91</v>
      </c>
      <c r="C36" s="18" t="s">
        <v>92</v>
      </c>
      <c r="D36" s="18">
        <v>0</v>
      </c>
      <c r="E36" s="18">
        <v>-2853</v>
      </c>
      <c r="F36" s="18">
        <v>3484</v>
      </c>
      <c r="G36" s="18">
        <v>1E+30</v>
      </c>
      <c r="H36" s="18">
        <v>2853</v>
      </c>
    </row>
    <row r="37" spans="1:8" x14ac:dyDescent="0.3">
      <c r="B37" s="18" t="s">
        <v>93</v>
      </c>
      <c r="C37" s="18" t="s">
        <v>94</v>
      </c>
      <c r="D37" s="18">
        <v>0</v>
      </c>
      <c r="E37" s="18">
        <v>-9977</v>
      </c>
      <c r="F37" s="18">
        <v>0</v>
      </c>
      <c r="G37" s="18">
        <v>1E+30</v>
      </c>
      <c r="H37" s="18">
        <v>9977</v>
      </c>
    </row>
    <row r="38" spans="1:8" x14ac:dyDescent="0.3">
      <c r="B38" s="18" t="s">
        <v>95</v>
      </c>
      <c r="C38" s="18" t="s">
        <v>96</v>
      </c>
      <c r="D38" s="18">
        <v>0</v>
      </c>
      <c r="E38" s="18">
        <v>-42</v>
      </c>
      <c r="F38" s="18">
        <v>5745</v>
      </c>
      <c r="G38" s="18">
        <v>1E+30</v>
      </c>
      <c r="H38" s="18">
        <v>42</v>
      </c>
    </row>
    <row r="39" spans="1:8" x14ac:dyDescent="0.3">
      <c r="B39" s="18" t="s">
        <v>97</v>
      </c>
      <c r="C39" s="18" t="s">
        <v>98</v>
      </c>
      <c r="D39" s="18">
        <v>0</v>
      </c>
      <c r="E39" s="18">
        <v>0</v>
      </c>
      <c r="F39" s="18">
        <v>2162</v>
      </c>
      <c r="G39" s="18">
        <v>422</v>
      </c>
      <c r="H39" s="18">
        <v>3</v>
      </c>
    </row>
    <row r="40" spans="1:8" x14ac:dyDescent="0.3">
      <c r="B40" s="18" t="s">
        <v>99</v>
      </c>
      <c r="C40" s="18" t="s">
        <v>100</v>
      </c>
      <c r="D40" s="18">
        <v>0</v>
      </c>
      <c r="E40" s="18">
        <v>0</v>
      </c>
      <c r="F40" s="18">
        <v>2287</v>
      </c>
      <c r="G40" s="18">
        <v>351</v>
      </c>
      <c r="H40" s="18">
        <v>42</v>
      </c>
    </row>
    <row r="41" spans="1:8" x14ac:dyDescent="0.3">
      <c r="B41" s="18" t="s">
        <v>101</v>
      </c>
      <c r="C41" s="18" t="s">
        <v>102</v>
      </c>
      <c r="D41" s="18">
        <v>1</v>
      </c>
      <c r="E41" s="18">
        <v>0</v>
      </c>
      <c r="F41" s="18">
        <v>2173</v>
      </c>
      <c r="G41" s="18">
        <v>3</v>
      </c>
      <c r="H41" s="18">
        <v>351</v>
      </c>
    </row>
    <row r="42" spans="1:8" x14ac:dyDescent="0.3">
      <c r="B42" s="18" t="s">
        <v>103</v>
      </c>
      <c r="C42" s="18" t="s">
        <v>104</v>
      </c>
      <c r="D42" s="18">
        <v>0</v>
      </c>
      <c r="E42" s="18">
        <v>212</v>
      </c>
      <c r="F42" s="18">
        <v>3580</v>
      </c>
      <c r="G42" s="18">
        <v>1E+30</v>
      </c>
      <c r="H42" s="18">
        <v>212</v>
      </c>
    </row>
    <row r="43" spans="1:8" x14ac:dyDescent="0.3">
      <c r="B43" s="18" t="s">
        <v>105</v>
      </c>
      <c r="C43" s="18" t="s">
        <v>106</v>
      </c>
      <c r="D43" s="18">
        <v>0</v>
      </c>
      <c r="E43" s="18">
        <v>-1000</v>
      </c>
      <c r="F43" s="18">
        <v>6008</v>
      </c>
      <c r="G43" s="18">
        <v>1E+30</v>
      </c>
      <c r="H43" s="18">
        <v>1000</v>
      </c>
    </row>
    <row r="44" spans="1:8" ht="16.2" thickBot="1" x14ac:dyDescent="0.35">
      <c r="B44" s="19" t="s">
        <v>107</v>
      </c>
      <c r="C44" s="19" t="s">
        <v>108</v>
      </c>
      <c r="D44" s="19">
        <v>0</v>
      </c>
      <c r="E44" s="19">
        <v>-2818</v>
      </c>
      <c r="F44" s="19">
        <v>0</v>
      </c>
      <c r="G44" s="19">
        <v>1E+30</v>
      </c>
      <c r="H44" s="19">
        <v>2818</v>
      </c>
    </row>
    <row r="46" spans="1:8" ht="16.2" thickBot="1" x14ac:dyDescent="0.35">
      <c r="A46" t="s">
        <v>32</v>
      </c>
    </row>
    <row r="47" spans="1:8" x14ac:dyDescent="0.3">
      <c r="B47" s="20"/>
      <c r="C47" s="20"/>
      <c r="D47" s="20" t="s">
        <v>23</v>
      </c>
      <c r="E47" s="20" t="s">
        <v>33</v>
      </c>
      <c r="F47" s="20" t="s">
        <v>35</v>
      </c>
      <c r="G47" s="20" t="s">
        <v>29</v>
      </c>
      <c r="H47" s="20" t="s">
        <v>29</v>
      </c>
    </row>
    <row r="48" spans="1:8" ht="16.2" thickBot="1" x14ac:dyDescent="0.35">
      <c r="B48" s="21" t="s">
        <v>21</v>
      </c>
      <c r="C48" s="21" t="s">
        <v>22</v>
      </c>
      <c r="D48" s="21" t="s">
        <v>24</v>
      </c>
      <c r="E48" s="21" t="s">
        <v>34</v>
      </c>
      <c r="F48" s="21" t="s">
        <v>36</v>
      </c>
      <c r="G48" s="21" t="s">
        <v>30</v>
      </c>
      <c r="H48" s="21" t="s">
        <v>31</v>
      </c>
    </row>
    <row r="49" spans="2:8" x14ac:dyDescent="0.3">
      <c r="B49" s="18" t="s">
        <v>109</v>
      </c>
      <c r="C49" s="18" t="s">
        <v>110</v>
      </c>
      <c r="D49" s="18">
        <v>1</v>
      </c>
      <c r="E49" s="18">
        <v>5131</v>
      </c>
      <c r="F49" s="18">
        <v>1</v>
      </c>
      <c r="G49" s="18">
        <v>0</v>
      </c>
      <c r="H49" s="18">
        <v>0</v>
      </c>
    </row>
    <row r="50" spans="2:8" x14ac:dyDescent="0.3">
      <c r="B50" s="18" t="s">
        <v>111</v>
      </c>
      <c r="C50" s="18" t="s">
        <v>112</v>
      </c>
      <c r="D50" s="18">
        <v>1</v>
      </c>
      <c r="E50" s="18">
        <v>5256</v>
      </c>
      <c r="F50" s="18">
        <v>1</v>
      </c>
      <c r="G50" s="18">
        <v>0</v>
      </c>
      <c r="H50" s="18">
        <v>1</v>
      </c>
    </row>
    <row r="51" spans="2:8" x14ac:dyDescent="0.3">
      <c r="B51" s="18" t="s">
        <v>113</v>
      </c>
      <c r="C51" s="18" t="s">
        <v>114</v>
      </c>
      <c r="D51" s="18">
        <v>1</v>
      </c>
      <c r="E51" s="18">
        <v>5142</v>
      </c>
      <c r="F51" s="18">
        <v>1</v>
      </c>
      <c r="G51" s="18">
        <v>0</v>
      </c>
      <c r="H51" s="18">
        <v>1</v>
      </c>
    </row>
    <row r="52" spans="2:8" x14ac:dyDescent="0.3">
      <c r="B52" s="18" t="s">
        <v>115</v>
      </c>
      <c r="C52" s="18" t="s">
        <v>116</v>
      </c>
      <c r="D52" s="18">
        <v>1</v>
      </c>
      <c r="E52" s="18">
        <v>6337</v>
      </c>
      <c r="F52" s="18">
        <v>1</v>
      </c>
      <c r="G52" s="18">
        <v>0</v>
      </c>
      <c r="H52" s="18">
        <v>1</v>
      </c>
    </row>
    <row r="53" spans="2:8" x14ac:dyDescent="0.3">
      <c r="B53" s="18" t="s">
        <v>117</v>
      </c>
      <c r="C53" s="18" t="s">
        <v>118</v>
      </c>
      <c r="D53" s="18">
        <v>1</v>
      </c>
      <c r="E53" s="18">
        <v>9977</v>
      </c>
      <c r="F53" s="18">
        <v>1</v>
      </c>
      <c r="G53" s="18">
        <v>0</v>
      </c>
      <c r="H53" s="18">
        <v>0</v>
      </c>
    </row>
    <row r="54" spans="2:8" x14ac:dyDescent="0.3">
      <c r="B54" s="18" t="s">
        <v>119</v>
      </c>
      <c r="C54" s="18" t="s">
        <v>120</v>
      </c>
      <c r="D54" s="18">
        <v>1</v>
      </c>
      <c r="E54" s="18">
        <v>5787</v>
      </c>
      <c r="F54" s="18">
        <v>1</v>
      </c>
      <c r="G54" s="18">
        <v>0</v>
      </c>
      <c r="H54" s="18">
        <v>1</v>
      </c>
    </row>
    <row r="55" spans="2:8" x14ac:dyDescent="0.3">
      <c r="B55" s="18" t="s">
        <v>121</v>
      </c>
      <c r="C55" s="18" t="s">
        <v>122</v>
      </c>
      <c r="D55" s="18">
        <v>1</v>
      </c>
      <c r="E55" s="18">
        <v>-4008</v>
      </c>
      <c r="F55" s="18">
        <v>1</v>
      </c>
      <c r="G55" s="18">
        <v>1</v>
      </c>
      <c r="H55" s="18">
        <v>0</v>
      </c>
    </row>
    <row r="56" spans="2:8" x14ac:dyDescent="0.3">
      <c r="B56" s="18" t="s">
        <v>123</v>
      </c>
      <c r="C56" s="18" t="s">
        <v>124</v>
      </c>
      <c r="D56" s="18">
        <v>1</v>
      </c>
      <c r="E56" s="18">
        <v>-3918</v>
      </c>
      <c r="F56" s="18">
        <v>1</v>
      </c>
      <c r="G56" s="18">
        <v>1</v>
      </c>
      <c r="H56" s="18">
        <v>0</v>
      </c>
    </row>
    <row r="57" spans="2:8" x14ac:dyDescent="0.3">
      <c r="B57" s="18" t="s">
        <v>125</v>
      </c>
      <c r="C57" s="18" t="s">
        <v>126</v>
      </c>
      <c r="D57" s="18">
        <v>1</v>
      </c>
      <c r="E57" s="18">
        <v>-5823</v>
      </c>
      <c r="F57" s="18">
        <v>1</v>
      </c>
      <c r="G57" s="18">
        <v>0</v>
      </c>
      <c r="H57" s="18">
        <v>0</v>
      </c>
    </row>
    <row r="58" spans="2:8" x14ac:dyDescent="0.3">
      <c r="B58" s="18" t="s">
        <v>127</v>
      </c>
      <c r="C58" s="18" t="s">
        <v>128</v>
      </c>
      <c r="D58" s="18">
        <v>1</v>
      </c>
      <c r="E58" s="18">
        <v>-3248</v>
      </c>
      <c r="F58" s="18">
        <v>1</v>
      </c>
      <c r="G58" s="18">
        <v>0</v>
      </c>
      <c r="H58" s="18">
        <v>0</v>
      </c>
    </row>
    <row r="59" spans="2:8" x14ac:dyDescent="0.3">
      <c r="B59" s="18" t="s">
        <v>129</v>
      </c>
      <c r="C59" s="18" t="s">
        <v>130</v>
      </c>
      <c r="D59" s="18">
        <v>1</v>
      </c>
      <c r="E59" s="18">
        <v>0</v>
      </c>
      <c r="F59" s="18">
        <v>1</v>
      </c>
      <c r="G59" s="18">
        <v>0</v>
      </c>
      <c r="H59" s="18">
        <v>1E+30</v>
      </c>
    </row>
    <row r="60" spans="2:8" ht="16.2" thickBot="1" x14ac:dyDescent="0.35">
      <c r="B60" s="19" t="s">
        <v>131</v>
      </c>
      <c r="C60" s="19" t="s">
        <v>132</v>
      </c>
      <c r="D60" s="19">
        <v>1</v>
      </c>
      <c r="E60" s="19">
        <v>-2969</v>
      </c>
      <c r="F60" s="19">
        <v>1</v>
      </c>
      <c r="G60" s="19">
        <v>1</v>
      </c>
      <c r="H60" s="1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B2F9C-3361-8847-9B83-853D93C63969}">
  <dimension ref="B2:P31"/>
  <sheetViews>
    <sheetView topLeftCell="A13" zoomScale="150" workbookViewId="0">
      <selection activeCell="B25" sqref="B25:H27"/>
    </sheetView>
  </sheetViews>
  <sheetFormatPr baseColWidth="10" defaultColWidth="11.19921875" defaultRowHeight="15.6" x14ac:dyDescent="0.3"/>
  <sheetData>
    <row r="2" spans="2:16" x14ac:dyDescent="0.3">
      <c r="J2" s="8" t="s">
        <v>7</v>
      </c>
    </row>
    <row r="3" spans="2:16" x14ac:dyDescent="0.3">
      <c r="B3" s="8" t="s">
        <v>0</v>
      </c>
      <c r="C3" s="8"/>
      <c r="J3" s="3" t="s">
        <v>8</v>
      </c>
      <c r="K3" s="3">
        <v>1</v>
      </c>
      <c r="M3" s="3" t="s">
        <v>15</v>
      </c>
      <c r="N3" s="3"/>
      <c r="O3" s="3"/>
      <c r="P3" s="3">
        <v>0</v>
      </c>
    </row>
    <row r="5" spans="2:16" x14ac:dyDescent="0.3">
      <c r="B5" s="13" t="s">
        <v>11</v>
      </c>
      <c r="C5" s="13" t="s">
        <v>1</v>
      </c>
      <c r="D5" s="13" t="s">
        <v>2</v>
      </c>
      <c r="E5" s="13" t="s">
        <v>3</v>
      </c>
      <c r="F5" s="13" t="s">
        <v>5</v>
      </c>
      <c r="G5" s="13" t="s">
        <v>6</v>
      </c>
      <c r="H5" s="13" t="s">
        <v>4</v>
      </c>
      <c r="J5" s="9" t="s">
        <v>11</v>
      </c>
      <c r="K5" s="9" t="s">
        <v>1</v>
      </c>
      <c r="L5" s="9" t="s">
        <v>2</v>
      </c>
      <c r="M5" s="9" t="s">
        <v>3</v>
      </c>
      <c r="N5" s="9" t="s">
        <v>5</v>
      </c>
      <c r="O5" s="9" t="s">
        <v>6</v>
      </c>
      <c r="P5" s="9" t="s">
        <v>4</v>
      </c>
    </row>
    <row r="6" spans="2:16" x14ac:dyDescent="0.3">
      <c r="B6" s="14" t="s">
        <v>1</v>
      </c>
      <c r="C6" s="1">
        <v>0</v>
      </c>
      <c r="D6" s="1">
        <v>1599</v>
      </c>
      <c r="E6" s="1">
        <v>1449</v>
      </c>
      <c r="F6" s="1">
        <v>2329</v>
      </c>
      <c r="G6" s="1">
        <v>5969</v>
      </c>
      <c r="H6" s="1">
        <v>1779</v>
      </c>
      <c r="J6" s="10" t="s">
        <v>1</v>
      </c>
      <c r="K6" s="7">
        <v>0</v>
      </c>
      <c r="L6" s="7">
        <v>1</v>
      </c>
      <c r="M6" s="7">
        <v>1</v>
      </c>
      <c r="N6" s="7">
        <v>1</v>
      </c>
      <c r="O6" s="7">
        <v>1</v>
      </c>
      <c r="P6" s="7">
        <v>1</v>
      </c>
    </row>
    <row r="7" spans="2:16" x14ac:dyDescent="0.3">
      <c r="B7" s="14" t="s">
        <v>2</v>
      </c>
      <c r="C7" s="1">
        <v>2463</v>
      </c>
      <c r="D7" s="1">
        <v>0</v>
      </c>
      <c r="E7" s="1">
        <v>1224</v>
      </c>
      <c r="F7" s="1">
        <v>2419</v>
      </c>
      <c r="G7" s="1">
        <v>7046</v>
      </c>
      <c r="H7" s="1">
        <v>2128</v>
      </c>
      <c r="J7" s="10" t="s">
        <v>2</v>
      </c>
      <c r="K7" s="7">
        <v>1</v>
      </c>
      <c r="L7" s="7">
        <v>0</v>
      </c>
      <c r="M7" s="7">
        <v>1</v>
      </c>
      <c r="N7" s="7">
        <v>1</v>
      </c>
      <c r="O7" s="7">
        <v>1</v>
      </c>
      <c r="P7" s="7">
        <v>1</v>
      </c>
    </row>
    <row r="8" spans="2:16" x14ac:dyDescent="0.3">
      <c r="B8" s="14" t="s">
        <v>3</v>
      </c>
      <c r="C8" s="1">
        <v>1216</v>
      </c>
      <c r="D8" s="1">
        <v>1840</v>
      </c>
      <c r="E8" s="1">
        <v>0</v>
      </c>
      <c r="F8" s="1">
        <v>1882</v>
      </c>
      <c r="G8" s="1">
        <v>4154</v>
      </c>
      <c r="H8" s="1">
        <v>1523</v>
      </c>
      <c r="J8" s="10" t="s">
        <v>3</v>
      </c>
      <c r="K8" s="7">
        <v>1</v>
      </c>
      <c r="L8" s="7">
        <v>1</v>
      </c>
      <c r="M8" s="7">
        <v>0</v>
      </c>
      <c r="N8" s="7">
        <v>1</v>
      </c>
      <c r="O8" s="7">
        <v>1</v>
      </c>
      <c r="P8" s="7">
        <v>1</v>
      </c>
    </row>
    <row r="9" spans="2:16" x14ac:dyDescent="0.3">
      <c r="B9" s="14" t="s">
        <v>5</v>
      </c>
      <c r="C9" s="1">
        <v>1883</v>
      </c>
      <c r="D9" s="1">
        <v>2658</v>
      </c>
      <c r="E9" s="1">
        <v>1897</v>
      </c>
      <c r="F9" s="1">
        <v>0</v>
      </c>
      <c r="G9" s="1">
        <v>5854</v>
      </c>
      <c r="H9" s="1">
        <v>3587</v>
      </c>
      <c r="J9" s="10" t="s">
        <v>5</v>
      </c>
      <c r="K9" s="7">
        <v>1</v>
      </c>
      <c r="L9" s="7">
        <v>1</v>
      </c>
      <c r="M9" s="7">
        <v>1</v>
      </c>
      <c r="N9" s="7">
        <v>0</v>
      </c>
      <c r="O9" s="7">
        <v>0</v>
      </c>
      <c r="P9" s="7">
        <v>0</v>
      </c>
    </row>
    <row r="10" spans="2:16" x14ac:dyDescent="0.3">
      <c r="B10" s="14" t="s">
        <v>6</v>
      </c>
      <c r="C10" s="1">
        <v>5553</v>
      </c>
      <c r="D10" s="1">
        <v>5256</v>
      </c>
      <c r="E10" s="1">
        <v>9081</v>
      </c>
      <c r="F10" s="1">
        <v>3484</v>
      </c>
      <c r="G10" s="1">
        <v>0</v>
      </c>
      <c r="H10" s="1">
        <v>5745</v>
      </c>
      <c r="J10" s="10" t="s">
        <v>6</v>
      </c>
      <c r="K10" s="7">
        <v>1</v>
      </c>
      <c r="L10" s="7">
        <v>1</v>
      </c>
      <c r="M10" s="7">
        <v>1</v>
      </c>
      <c r="N10" s="7">
        <v>0</v>
      </c>
      <c r="O10" s="7">
        <v>0</v>
      </c>
      <c r="P10" s="7">
        <v>0</v>
      </c>
    </row>
    <row r="11" spans="2:16" x14ac:dyDescent="0.3">
      <c r="B11" s="14" t="s">
        <v>4</v>
      </c>
      <c r="C11" s="1">
        <v>2162</v>
      </c>
      <c r="D11" s="1">
        <v>2287</v>
      </c>
      <c r="E11" s="1">
        <v>2173</v>
      </c>
      <c r="F11" s="1">
        <v>3580</v>
      </c>
      <c r="G11" s="1">
        <v>6008</v>
      </c>
      <c r="H11" s="1">
        <v>0</v>
      </c>
      <c r="J11" s="10" t="s">
        <v>4</v>
      </c>
      <c r="K11" s="7">
        <v>1</v>
      </c>
      <c r="L11" s="7">
        <v>1</v>
      </c>
      <c r="M11" s="7">
        <v>1</v>
      </c>
      <c r="N11" s="7">
        <v>0</v>
      </c>
      <c r="O11" s="7">
        <v>0</v>
      </c>
      <c r="P11" s="7">
        <v>0</v>
      </c>
    </row>
    <row r="16" spans="2:16" x14ac:dyDescent="0.3">
      <c r="B16" s="8" t="s">
        <v>12</v>
      </c>
    </row>
    <row r="18" spans="2:11" x14ac:dyDescent="0.3">
      <c r="B18" s="11" t="s">
        <v>11</v>
      </c>
      <c r="C18" s="11" t="s">
        <v>1</v>
      </c>
      <c r="D18" s="11" t="s">
        <v>2</v>
      </c>
      <c r="E18" s="11" t="s">
        <v>3</v>
      </c>
      <c r="F18" s="11" t="s">
        <v>5</v>
      </c>
      <c r="G18" s="11" t="s">
        <v>6</v>
      </c>
      <c r="H18" s="11" t="s">
        <v>4</v>
      </c>
      <c r="I18" s="4" t="s">
        <v>9</v>
      </c>
      <c r="J18" s="4"/>
      <c r="K18" s="4" t="s">
        <v>10</v>
      </c>
    </row>
    <row r="19" spans="2:11" x14ac:dyDescent="0.3">
      <c r="B19" s="12" t="s">
        <v>1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1</v>
      </c>
      <c r="I19" s="6">
        <f t="shared" ref="I19:I24" si="0">SUM(C19:H19)</f>
        <v>1</v>
      </c>
      <c r="J19" s="6" t="s">
        <v>14</v>
      </c>
      <c r="K19" s="6">
        <v>1</v>
      </c>
    </row>
    <row r="20" spans="2:11" x14ac:dyDescent="0.3">
      <c r="B20" s="12" t="s">
        <v>2</v>
      </c>
      <c r="C20" s="5">
        <v>0</v>
      </c>
      <c r="D20" s="5">
        <v>0</v>
      </c>
      <c r="E20" s="5">
        <v>0</v>
      </c>
      <c r="F20" s="5">
        <v>1</v>
      </c>
      <c r="G20" s="5">
        <v>0</v>
      </c>
      <c r="H20" s="5">
        <v>0</v>
      </c>
      <c r="I20" s="6">
        <f t="shared" si="0"/>
        <v>1</v>
      </c>
      <c r="J20" s="6" t="s">
        <v>14</v>
      </c>
      <c r="K20" s="6">
        <v>1</v>
      </c>
    </row>
    <row r="21" spans="2:11" x14ac:dyDescent="0.3">
      <c r="B21" s="12" t="s">
        <v>3</v>
      </c>
      <c r="C21" s="5">
        <v>0</v>
      </c>
      <c r="D21" s="5">
        <v>0</v>
      </c>
      <c r="E21" s="5">
        <v>0</v>
      </c>
      <c r="F21" s="5">
        <v>0</v>
      </c>
      <c r="G21" s="5">
        <v>1</v>
      </c>
      <c r="H21" s="5">
        <v>0</v>
      </c>
      <c r="I21" s="6">
        <f t="shared" si="0"/>
        <v>1</v>
      </c>
      <c r="J21" s="6" t="s">
        <v>14</v>
      </c>
      <c r="K21" s="6">
        <v>1</v>
      </c>
    </row>
    <row r="22" spans="2:11" x14ac:dyDescent="0.3">
      <c r="B22" s="12" t="s">
        <v>5</v>
      </c>
      <c r="C22" s="5">
        <v>1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6">
        <f t="shared" si="0"/>
        <v>1</v>
      </c>
      <c r="J22" s="6" t="s">
        <v>14</v>
      </c>
      <c r="K22" s="6">
        <v>1</v>
      </c>
    </row>
    <row r="23" spans="2:11" x14ac:dyDescent="0.3">
      <c r="B23" s="12" t="s">
        <v>6</v>
      </c>
      <c r="C23" s="5">
        <v>0</v>
      </c>
      <c r="D23" s="5">
        <v>1</v>
      </c>
      <c r="E23" s="5">
        <v>0</v>
      </c>
      <c r="F23" s="5">
        <v>0</v>
      </c>
      <c r="G23" s="5">
        <v>0</v>
      </c>
      <c r="H23" s="5">
        <v>0</v>
      </c>
      <c r="I23" s="6">
        <f t="shared" si="0"/>
        <v>1</v>
      </c>
      <c r="J23" s="6" t="s">
        <v>14</v>
      </c>
      <c r="K23" s="6">
        <v>1</v>
      </c>
    </row>
    <row r="24" spans="2:11" x14ac:dyDescent="0.3">
      <c r="B24" s="12" t="s">
        <v>4</v>
      </c>
      <c r="C24" s="5">
        <v>0</v>
      </c>
      <c r="D24" s="5">
        <v>0</v>
      </c>
      <c r="E24" s="5">
        <v>1</v>
      </c>
      <c r="F24" s="5">
        <v>0</v>
      </c>
      <c r="G24" s="5">
        <v>0</v>
      </c>
      <c r="H24" s="5">
        <v>0</v>
      </c>
      <c r="I24" s="6">
        <f t="shared" si="0"/>
        <v>1</v>
      </c>
      <c r="J24" s="6" t="s">
        <v>14</v>
      </c>
      <c r="K24" s="6">
        <v>1</v>
      </c>
    </row>
    <row r="25" spans="2:11" x14ac:dyDescent="0.3">
      <c r="B25" s="4" t="s">
        <v>9</v>
      </c>
      <c r="C25" s="6">
        <f t="shared" ref="C25:H25" si="1">SUM(C19:C24)</f>
        <v>1</v>
      </c>
      <c r="D25" s="6">
        <f t="shared" si="1"/>
        <v>1</v>
      </c>
      <c r="E25" s="6">
        <f t="shared" si="1"/>
        <v>1</v>
      </c>
      <c r="F25" s="6">
        <f t="shared" si="1"/>
        <v>1</v>
      </c>
      <c r="G25" s="6">
        <f t="shared" si="1"/>
        <v>1</v>
      </c>
      <c r="H25" s="6">
        <f t="shared" si="1"/>
        <v>1</v>
      </c>
      <c r="I25" s="2"/>
      <c r="J25" s="2"/>
      <c r="K25" s="2"/>
    </row>
    <row r="26" spans="2:11" x14ac:dyDescent="0.3">
      <c r="B26" s="4"/>
      <c r="C26" s="6" t="s">
        <v>14</v>
      </c>
      <c r="D26" s="6" t="s">
        <v>14</v>
      </c>
      <c r="E26" s="6" t="s">
        <v>14</v>
      </c>
      <c r="F26" s="6" t="s">
        <v>14</v>
      </c>
      <c r="G26" s="6" t="s">
        <v>14</v>
      </c>
      <c r="H26" s="6" t="s">
        <v>14</v>
      </c>
      <c r="I26" s="2"/>
      <c r="J26" s="2"/>
      <c r="K26" s="2"/>
    </row>
    <row r="27" spans="2:11" x14ac:dyDescent="0.3">
      <c r="B27" s="4" t="s">
        <v>10</v>
      </c>
      <c r="C27" s="6">
        <v>1</v>
      </c>
      <c r="D27" s="6">
        <v>1</v>
      </c>
      <c r="E27" s="6">
        <v>1</v>
      </c>
      <c r="F27" s="6">
        <v>1</v>
      </c>
      <c r="G27" s="6">
        <v>1</v>
      </c>
      <c r="H27" s="6">
        <v>1</v>
      </c>
      <c r="I27" s="2"/>
      <c r="J27" s="2"/>
      <c r="K27" s="2"/>
    </row>
    <row r="29" spans="2:11" x14ac:dyDescent="0.3">
      <c r="B29" s="15" t="s">
        <v>16</v>
      </c>
      <c r="C29" s="15"/>
      <c r="D29" s="17"/>
      <c r="E29" s="15">
        <f>SUMPRODUCT(C19:H24,C6:H11)</f>
        <v>17664</v>
      </c>
    </row>
    <row r="31" spans="2:11" x14ac:dyDescent="0.3">
      <c r="B31" s="16" t="s">
        <v>12</v>
      </c>
      <c r="C31" s="16" t="s">
        <v>13</v>
      </c>
      <c r="D31" s="16"/>
      <c r="E31" s="16"/>
      <c r="F31" s="16"/>
      <c r="G31" s="16"/>
      <c r="H31" s="1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349EB-890E-F740-8518-04D821BC28AC}">
  <dimension ref="A1:H34"/>
  <sheetViews>
    <sheetView showGridLines="0" topLeftCell="A5" zoomScale="87" workbookViewId="0">
      <selection sqref="A1:A3"/>
    </sheetView>
  </sheetViews>
  <sheetFormatPr baseColWidth="10" defaultColWidth="11.19921875" defaultRowHeight="15.6" x14ac:dyDescent="0.3"/>
  <cols>
    <col min="1" max="1" width="2.296875" customWidth="1"/>
    <col min="2" max="2" width="6.5" bestFit="1" customWidth="1"/>
    <col min="3" max="3" width="18.796875" bestFit="1" customWidth="1"/>
    <col min="4" max="4" width="12.19921875" bestFit="1" customWidth="1"/>
    <col min="5" max="5" width="12.796875" bestFit="1" customWidth="1"/>
    <col min="6" max="6" width="11.5" bestFit="1" customWidth="1"/>
    <col min="7" max="7" width="12.19921875" bestFit="1" customWidth="1"/>
    <col min="8" max="8" width="8.19921875" bestFit="1" customWidth="1"/>
  </cols>
  <sheetData>
    <row r="1" spans="1:8" x14ac:dyDescent="0.3">
      <c r="A1" s="8" t="s">
        <v>17</v>
      </c>
    </row>
    <row r="2" spans="1:8" x14ac:dyDescent="0.3">
      <c r="A2" s="8" t="s">
        <v>145</v>
      </c>
    </row>
    <row r="3" spans="1:8" x14ac:dyDescent="0.3">
      <c r="A3" s="8" t="s">
        <v>184</v>
      </c>
    </row>
    <row r="6" spans="1:8" ht="16.2" thickBot="1" x14ac:dyDescent="0.35">
      <c r="A6" t="s">
        <v>20</v>
      </c>
    </row>
    <row r="7" spans="1:8" x14ac:dyDescent="0.3">
      <c r="B7" s="20"/>
      <c r="C7" s="20"/>
      <c r="D7" s="20" t="s">
        <v>23</v>
      </c>
      <c r="E7" s="20" t="s">
        <v>25</v>
      </c>
      <c r="F7" s="20" t="s">
        <v>27</v>
      </c>
      <c r="G7" s="20" t="s">
        <v>29</v>
      </c>
      <c r="H7" s="20" t="s">
        <v>29</v>
      </c>
    </row>
    <row r="8" spans="1:8" ht="16.2" thickBot="1" x14ac:dyDescent="0.35">
      <c r="B8" s="21" t="s">
        <v>21</v>
      </c>
      <c r="C8" s="21" t="s">
        <v>22</v>
      </c>
      <c r="D8" s="21" t="s">
        <v>24</v>
      </c>
      <c r="E8" s="21" t="s">
        <v>26</v>
      </c>
      <c r="F8" s="21" t="s">
        <v>28</v>
      </c>
      <c r="G8" s="21" t="s">
        <v>30</v>
      </c>
      <c r="H8" s="21" t="s">
        <v>31</v>
      </c>
    </row>
    <row r="9" spans="1:8" x14ac:dyDescent="0.3">
      <c r="B9" s="18" t="s">
        <v>146</v>
      </c>
      <c r="C9" s="18" t="s">
        <v>147</v>
      </c>
      <c r="D9" s="18">
        <v>0</v>
      </c>
      <c r="E9" s="18">
        <v>0</v>
      </c>
      <c r="F9" s="18">
        <v>0</v>
      </c>
      <c r="G9" s="18">
        <v>0</v>
      </c>
      <c r="H9" s="18">
        <v>1E+30</v>
      </c>
    </row>
    <row r="10" spans="1:8" x14ac:dyDescent="0.3">
      <c r="B10" s="18" t="s">
        <v>148</v>
      </c>
      <c r="C10" s="18" t="s">
        <v>149</v>
      </c>
      <c r="D10" s="18">
        <v>500</v>
      </c>
      <c r="E10" s="18">
        <v>-1.8189894035458565E-12</v>
      </c>
      <c r="F10" s="18">
        <v>10000</v>
      </c>
      <c r="G10" s="18">
        <v>1.8189894035458565E-12</v>
      </c>
      <c r="H10" s="18">
        <v>1E+30</v>
      </c>
    </row>
    <row r="11" spans="1:8" x14ac:dyDescent="0.3">
      <c r="B11" s="18" t="s">
        <v>150</v>
      </c>
      <c r="C11" s="18" t="s">
        <v>151</v>
      </c>
      <c r="D11" s="18">
        <v>500</v>
      </c>
      <c r="E11" s="18">
        <v>0</v>
      </c>
      <c r="F11" s="18">
        <v>15000</v>
      </c>
      <c r="G11" s="18">
        <v>1E+30</v>
      </c>
      <c r="H11" s="18">
        <v>0</v>
      </c>
    </row>
    <row r="12" spans="1:8" x14ac:dyDescent="0.3">
      <c r="B12" s="18" t="s">
        <v>152</v>
      </c>
      <c r="C12" s="18" t="s">
        <v>153</v>
      </c>
      <c r="D12" s="18">
        <v>2500</v>
      </c>
      <c r="E12" s="18">
        <v>0</v>
      </c>
      <c r="F12" s="18">
        <v>4000</v>
      </c>
      <c r="G12" s="18">
        <v>1E+30</v>
      </c>
      <c r="H12" s="18">
        <v>0</v>
      </c>
    </row>
    <row r="13" spans="1:8" x14ac:dyDescent="0.3">
      <c r="B13" s="18" t="s">
        <v>154</v>
      </c>
      <c r="C13" s="18" t="s">
        <v>155</v>
      </c>
      <c r="D13" s="18">
        <v>0</v>
      </c>
      <c r="E13" s="18">
        <v>0</v>
      </c>
      <c r="F13" s="18">
        <v>0</v>
      </c>
      <c r="G13" s="18">
        <v>0</v>
      </c>
      <c r="H13" s="18">
        <v>1E+30</v>
      </c>
    </row>
    <row r="14" spans="1:8" x14ac:dyDescent="0.3">
      <c r="B14" s="18" t="s">
        <v>156</v>
      </c>
      <c r="C14" s="18" t="s">
        <v>157</v>
      </c>
      <c r="D14" s="18">
        <v>300</v>
      </c>
      <c r="E14" s="18">
        <v>0</v>
      </c>
      <c r="F14" s="18">
        <v>26000</v>
      </c>
      <c r="G14" s="18">
        <v>0</v>
      </c>
      <c r="H14" s="18">
        <v>1E+30</v>
      </c>
    </row>
    <row r="15" spans="1:8" x14ac:dyDescent="0.3">
      <c r="B15" s="18" t="s">
        <v>158</v>
      </c>
      <c r="C15" s="18" t="s">
        <v>159</v>
      </c>
      <c r="D15" s="18">
        <v>1000</v>
      </c>
      <c r="E15" s="18">
        <v>0</v>
      </c>
      <c r="F15" s="18">
        <v>7000</v>
      </c>
      <c r="G15" s="18">
        <v>0</v>
      </c>
      <c r="H15" s="18">
        <v>1E+30</v>
      </c>
    </row>
    <row r="16" spans="1:8" x14ac:dyDescent="0.3">
      <c r="B16" s="18" t="s">
        <v>160</v>
      </c>
      <c r="C16" s="18" t="s">
        <v>161</v>
      </c>
      <c r="D16" s="18">
        <v>800</v>
      </c>
      <c r="E16" s="18">
        <v>0</v>
      </c>
      <c r="F16" s="18">
        <v>15000</v>
      </c>
      <c r="G16" s="18">
        <v>1E+30</v>
      </c>
      <c r="H16" s="18">
        <v>0</v>
      </c>
    </row>
    <row r="17" spans="1:8" x14ac:dyDescent="0.3">
      <c r="B17" s="18" t="s">
        <v>162</v>
      </c>
      <c r="C17" s="18" t="s">
        <v>163</v>
      </c>
      <c r="D17" s="18">
        <v>300</v>
      </c>
      <c r="E17" s="18">
        <v>-3.637978807091713E-12</v>
      </c>
      <c r="F17" s="18">
        <v>19000</v>
      </c>
      <c r="G17" s="18">
        <v>3.637978807091713E-12</v>
      </c>
      <c r="H17" s="18">
        <v>1E+30</v>
      </c>
    </row>
    <row r="18" spans="1:8" x14ac:dyDescent="0.3">
      <c r="B18" s="18" t="s">
        <v>164</v>
      </c>
      <c r="C18" s="18" t="s">
        <v>165</v>
      </c>
      <c r="D18" s="18">
        <v>1000</v>
      </c>
      <c r="E18" s="18">
        <v>0</v>
      </c>
      <c r="F18" s="18">
        <v>7000</v>
      </c>
      <c r="G18" s="18">
        <v>0</v>
      </c>
      <c r="H18" s="18">
        <v>1E+30</v>
      </c>
    </row>
    <row r="19" spans="1:8" x14ac:dyDescent="0.3">
      <c r="B19" s="18" t="s">
        <v>166</v>
      </c>
      <c r="C19" s="18" t="s">
        <v>167</v>
      </c>
      <c r="D19" s="18">
        <v>800</v>
      </c>
      <c r="E19" s="18">
        <v>0</v>
      </c>
      <c r="F19" s="18">
        <v>15000</v>
      </c>
      <c r="G19" s="18">
        <v>1E+30</v>
      </c>
      <c r="H19" s="18">
        <v>0</v>
      </c>
    </row>
    <row r="20" spans="1:8" x14ac:dyDescent="0.3">
      <c r="B20" s="18" t="s">
        <v>168</v>
      </c>
      <c r="C20" s="18" t="s">
        <v>169</v>
      </c>
      <c r="D20" s="18">
        <v>500</v>
      </c>
      <c r="E20" s="18">
        <v>0</v>
      </c>
      <c r="F20" s="18">
        <v>30000</v>
      </c>
      <c r="G20" s="18">
        <v>1E+30</v>
      </c>
      <c r="H20" s="18">
        <v>0</v>
      </c>
    </row>
    <row r="21" spans="1:8" x14ac:dyDescent="0.3">
      <c r="B21" s="18" t="s">
        <v>170</v>
      </c>
      <c r="C21" s="18" t="s">
        <v>171</v>
      </c>
      <c r="D21" s="18">
        <v>1000</v>
      </c>
      <c r="E21" s="18">
        <v>0</v>
      </c>
      <c r="F21" s="18">
        <v>6000</v>
      </c>
      <c r="G21" s="18">
        <v>0</v>
      </c>
      <c r="H21" s="18">
        <v>1E+30</v>
      </c>
    </row>
    <row r="22" spans="1:8" x14ac:dyDescent="0.3">
      <c r="B22" s="18" t="s">
        <v>172</v>
      </c>
      <c r="C22" s="18" t="s">
        <v>173</v>
      </c>
      <c r="D22" s="18">
        <v>706.66666666666674</v>
      </c>
      <c r="E22" s="18">
        <v>0</v>
      </c>
      <c r="F22" s="18">
        <v>15000</v>
      </c>
      <c r="G22" s="18">
        <v>0</v>
      </c>
      <c r="H22" s="18">
        <v>0</v>
      </c>
    </row>
    <row r="23" spans="1:8" x14ac:dyDescent="0.3">
      <c r="B23" s="18" t="s">
        <v>174</v>
      </c>
      <c r="C23" s="18" t="s">
        <v>175</v>
      </c>
      <c r="D23" s="18">
        <v>300</v>
      </c>
      <c r="E23" s="18">
        <v>0</v>
      </c>
      <c r="F23" s="18">
        <v>25000</v>
      </c>
      <c r="G23" s="18">
        <v>0</v>
      </c>
      <c r="H23" s="18">
        <v>1E+30</v>
      </c>
    </row>
    <row r="24" spans="1:8" x14ac:dyDescent="0.3">
      <c r="B24" s="18" t="s">
        <v>37</v>
      </c>
      <c r="C24" s="18" t="s">
        <v>176</v>
      </c>
      <c r="D24" s="18">
        <v>0</v>
      </c>
      <c r="E24" s="18">
        <v>0</v>
      </c>
      <c r="F24" s="18">
        <v>0</v>
      </c>
      <c r="G24" s="18">
        <v>0</v>
      </c>
      <c r="H24" s="18">
        <v>1E+30</v>
      </c>
    </row>
    <row r="25" spans="1:8" x14ac:dyDescent="0.3">
      <c r="B25" s="18" t="s">
        <v>39</v>
      </c>
      <c r="C25" s="18" t="s">
        <v>177</v>
      </c>
      <c r="D25" s="18">
        <v>500</v>
      </c>
      <c r="E25" s="18">
        <v>0</v>
      </c>
      <c r="F25" s="18">
        <v>15000</v>
      </c>
      <c r="G25" s="18">
        <v>0</v>
      </c>
      <c r="H25" s="18">
        <v>1E+30</v>
      </c>
    </row>
    <row r="26" spans="1:8" ht="16.2" thickBot="1" x14ac:dyDescent="0.35">
      <c r="B26" s="19" t="s">
        <v>41</v>
      </c>
      <c r="C26" s="19" t="s">
        <v>178</v>
      </c>
      <c r="D26" s="19">
        <v>300</v>
      </c>
      <c r="E26" s="19">
        <v>0</v>
      </c>
      <c r="F26" s="19">
        <v>30000</v>
      </c>
      <c r="G26" s="19">
        <v>0</v>
      </c>
      <c r="H26" s="19">
        <v>1E+30</v>
      </c>
    </row>
    <row r="28" spans="1:8" ht="16.2" thickBot="1" x14ac:dyDescent="0.35">
      <c r="A28" t="s">
        <v>32</v>
      </c>
    </row>
    <row r="29" spans="1:8" x14ac:dyDescent="0.3">
      <c r="B29" s="20"/>
      <c r="C29" s="20"/>
      <c r="D29" s="20" t="s">
        <v>23</v>
      </c>
      <c r="E29" s="20" t="s">
        <v>33</v>
      </c>
      <c r="F29" s="20" t="s">
        <v>35</v>
      </c>
      <c r="G29" s="20" t="s">
        <v>29</v>
      </c>
      <c r="H29" s="20" t="s">
        <v>29</v>
      </c>
    </row>
    <row r="30" spans="1:8" ht="16.2" thickBot="1" x14ac:dyDescent="0.35">
      <c r="B30" s="21" t="s">
        <v>21</v>
      </c>
      <c r="C30" s="21" t="s">
        <v>22</v>
      </c>
      <c r="D30" s="21" t="s">
        <v>24</v>
      </c>
      <c r="E30" s="21" t="s">
        <v>34</v>
      </c>
      <c r="F30" s="21" t="s">
        <v>36</v>
      </c>
      <c r="G30" s="21" t="s">
        <v>30</v>
      </c>
      <c r="H30" s="21" t="s">
        <v>31</v>
      </c>
    </row>
    <row r="31" spans="1:8" x14ac:dyDescent="0.3">
      <c r="B31" s="18" t="s">
        <v>180</v>
      </c>
      <c r="C31" s="18" t="s">
        <v>147</v>
      </c>
      <c r="D31" s="18">
        <v>0</v>
      </c>
      <c r="E31" s="18">
        <v>0</v>
      </c>
      <c r="F31" s="18">
        <v>0</v>
      </c>
      <c r="G31" s="18">
        <v>0</v>
      </c>
      <c r="H31" s="18">
        <v>1E+30</v>
      </c>
    </row>
    <row r="32" spans="1:8" x14ac:dyDescent="0.3">
      <c r="B32" s="18" t="s">
        <v>181</v>
      </c>
      <c r="C32" s="18" t="s">
        <v>176</v>
      </c>
      <c r="D32" s="18">
        <v>0</v>
      </c>
      <c r="E32" s="18">
        <v>0</v>
      </c>
      <c r="F32" s="18">
        <v>0</v>
      </c>
      <c r="G32" s="18">
        <v>0</v>
      </c>
      <c r="H32" s="18">
        <v>1E+30</v>
      </c>
    </row>
    <row r="33" spans="2:8" x14ac:dyDescent="0.3">
      <c r="B33" s="18" t="s">
        <v>182</v>
      </c>
      <c r="C33" s="18" t="s">
        <v>155</v>
      </c>
      <c r="D33" s="18">
        <v>0</v>
      </c>
      <c r="E33" s="18">
        <v>0</v>
      </c>
      <c r="F33" s="18">
        <v>0</v>
      </c>
      <c r="G33" s="18">
        <v>0</v>
      </c>
      <c r="H33" s="18">
        <v>1E+30</v>
      </c>
    </row>
    <row r="34" spans="2:8" ht="16.2" thickBot="1" x14ac:dyDescent="0.35">
      <c r="B34" s="19" t="s">
        <v>183</v>
      </c>
      <c r="C34" s="19" t="s">
        <v>179</v>
      </c>
      <c r="D34" s="19">
        <v>110000000</v>
      </c>
      <c r="E34" s="19">
        <v>1</v>
      </c>
      <c r="F34" s="19">
        <v>110000000</v>
      </c>
      <c r="G34" s="19">
        <v>1399999.9999999988</v>
      </c>
      <c r="H34" s="19">
        <v>3100000.0000000009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08BD9-B765-BC4A-9801-3C5BD3059ED2}">
  <dimension ref="A2:N47"/>
  <sheetViews>
    <sheetView zoomScale="63" zoomScaleNormal="168" workbookViewId="0">
      <selection activeCell="F18" sqref="F18"/>
    </sheetView>
  </sheetViews>
  <sheetFormatPr baseColWidth="10" defaultColWidth="11.19921875" defaultRowHeight="15.6" x14ac:dyDescent="0.3"/>
  <cols>
    <col min="2" max="2" width="16.69921875" customWidth="1"/>
    <col min="3" max="3" width="16.59765625" customWidth="1"/>
    <col min="4" max="4" width="12.09765625" customWidth="1"/>
    <col min="5" max="5" width="12.59765625" customWidth="1"/>
    <col min="6" max="6" width="13" bestFit="1" customWidth="1"/>
    <col min="8" max="8" width="11.69921875" customWidth="1"/>
    <col min="9" max="9" width="14.19921875" bestFit="1" customWidth="1"/>
    <col min="10" max="12" width="11.19921875" bestFit="1" customWidth="1"/>
  </cols>
  <sheetData>
    <row r="2" spans="1:14" x14ac:dyDescent="0.3">
      <c r="A2" s="22"/>
      <c r="B2" s="23"/>
      <c r="C2" s="23"/>
      <c r="D2" s="23"/>
      <c r="E2" s="23"/>
      <c r="F2" s="23"/>
      <c r="G2" s="22"/>
      <c r="H2" s="22"/>
      <c r="I2" s="22" t="s">
        <v>140</v>
      </c>
      <c r="J2" s="22"/>
      <c r="K2" s="22"/>
      <c r="L2" s="22"/>
      <c r="M2" s="22"/>
      <c r="N2" s="22"/>
    </row>
    <row r="3" spans="1:14" x14ac:dyDescent="0.3">
      <c r="A3" s="22"/>
      <c r="B3" s="24" t="s">
        <v>136</v>
      </c>
      <c r="C3" s="24" t="s">
        <v>133</v>
      </c>
      <c r="D3" s="24" t="s">
        <v>134</v>
      </c>
      <c r="E3" s="24" t="s">
        <v>135</v>
      </c>
      <c r="F3" s="24" t="s">
        <v>9</v>
      </c>
      <c r="G3" s="22"/>
      <c r="H3" s="30" t="s">
        <v>10</v>
      </c>
      <c r="I3" s="30" t="s">
        <v>133</v>
      </c>
      <c r="J3" s="30" t="s">
        <v>134</v>
      </c>
      <c r="K3" s="30" t="s">
        <v>135</v>
      </c>
      <c r="L3" s="22"/>
      <c r="M3" s="22"/>
      <c r="N3" s="22"/>
    </row>
    <row r="4" spans="1:14" x14ac:dyDescent="0.3">
      <c r="A4" s="22"/>
      <c r="B4" s="25" t="s">
        <v>1</v>
      </c>
      <c r="C4" s="26">
        <v>0</v>
      </c>
      <c r="D4" s="27">
        <v>10000</v>
      </c>
      <c r="E4" s="27">
        <v>15000</v>
      </c>
      <c r="F4" s="27">
        <f>SUM(C4:E4)</f>
        <v>25000</v>
      </c>
      <c r="G4" s="22"/>
      <c r="H4" s="28" t="s">
        <v>1</v>
      </c>
      <c r="I4" s="29">
        <f>IF(C4&gt;0,1,0)</f>
        <v>0</v>
      </c>
      <c r="J4" s="29">
        <f t="shared" ref="J4:K4" si="0">IF(D4&gt;0,1,0)</f>
        <v>1</v>
      </c>
      <c r="K4" s="29">
        <f t="shared" si="0"/>
        <v>1</v>
      </c>
      <c r="L4" s="22"/>
      <c r="M4" s="22"/>
      <c r="N4" s="22"/>
    </row>
    <row r="5" spans="1:14" x14ac:dyDescent="0.3">
      <c r="A5" s="22"/>
      <c r="B5" s="25" t="s">
        <v>2</v>
      </c>
      <c r="C5" s="27">
        <v>4000</v>
      </c>
      <c r="D5" s="26">
        <v>0</v>
      </c>
      <c r="E5" s="27">
        <f>15000+11000</f>
        <v>26000</v>
      </c>
      <c r="F5" s="27">
        <f t="shared" ref="F5" si="1">SUM(C5:E5)</f>
        <v>30000</v>
      </c>
      <c r="G5" s="22"/>
      <c r="H5" s="28" t="s">
        <v>2</v>
      </c>
      <c r="I5" s="29">
        <f t="shared" ref="I5:I9" si="2">IF(C5&gt;0,1,0)</f>
        <v>1</v>
      </c>
      <c r="J5" s="29">
        <f t="shared" ref="J5:J9" si="3">IF(D5&gt;0,1,0)</f>
        <v>0</v>
      </c>
      <c r="K5" s="29">
        <f t="shared" ref="K5:K9" si="4">IF(E5&gt;0,1,0)</f>
        <v>1</v>
      </c>
      <c r="L5" s="22"/>
      <c r="M5" s="22"/>
      <c r="N5" s="22"/>
    </row>
    <row r="6" spans="1:14" x14ac:dyDescent="0.3">
      <c r="A6" s="22"/>
      <c r="B6" s="25" t="s">
        <v>3</v>
      </c>
      <c r="C6" s="27">
        <v>7000</v>
      </c>
      <c r="D6" s="27">
        <v>15000</v>
      </c>
      <c r="E6" s="27">
        <v>19000</v>
      </c>
      <c r="F6" s="27">
        <f>SUM(C6:E6)</f>
        <v>41000</v>
      </c>
      <c r="G6" s="22"/>
      <c r="H6" s="28" t="s">
        <v>3</v>
      </c>
      <c r="I6" s="29">
        <f t="shared" si="2"/>
        <v>1</v>
      </c>
      <c r="J6" s="29">
        <f t="shared" si="3"/>
        <v>1</v>
      </c>
      <c r="K6" s="29">
        <f t="shared" si="4"/>
        <v>1</v>
      </c>
      <c r="L6" s="22"/>
      <c r="M6" s="22"/>
      <c r="N6" s="22"/>
    </row>
    <row r="7" spans="1:14" x14ac:dyDescent="0.3">
      <c r="A7" s="22"/>
      <c r="B7" s="25" t="s">
        <v>5</v>
      </c>
      <c r="C7" s="27">
        <v>7000</v>
      </c>
      <c r="D7" s="27">
        <v>15000</v>
      </c>
      <c r="E7" s="27">
        <v>30000</v>
      </c>
      <c r="F7" s="27">
        <f>SUM(C7:E7)</f>
        <v>52000</v>
      </c>
      <c r="G7" s="22"/>
      <c r="H7" s="28" t="s">
        <v>5</v>
      </c>
      <c r="I7" s="29">
        <f t="shared" si="2"/>
        <v>1</v>
      </c>
      <c r="J7" s="29">
        <f t="shared" si="3"/>
        <v>1</v>
      </c>
      <c r="K7" s="29">
        <f t="shared" si="4"/>
        <v>1</v>
      </c>
      <c r="L7" s="22"/>
      <c r="M7" s="22"/>
      <c r="N7" s="22"/>
    </row>
    <row r="8" spans="1:14" x14ac:dyDescent="0.3">
      <c r="A8" s="22"/>
      <c r="B8" s="25" t="s">
        <v>6</v>
      </c>
      <c r="C8" s="27">
        <v>6000</v>
      </c>
      <c r="D8" s="27">
        <v>15000</v>
      </c>
      <c r="E8" s="27">
        <v>25000</v>
      </c>
      <c r="F8" s="27">
        <f>SUM(C8:E8)</f>
        <v>46000</v>
      </c>
      <c r="G8" s="22"/>
      <c r="H8" s="28" t="s">
        <v>6</v>
      </c>
      <c r="I8" s="29">
        <f t="shared" si="2"/>
        <v>1</v>
      </c>
      <c r="J8" s="29">
        <f t="shared" si="3"/>
        <v>1</v>
      </c>
      <c r="K8" s="29">
        <f t="shared" si="4"/>
        <v>1</v>
      </c>
      <c r="L8" s="22"/>
      <c r="M8" s="22"/>
      <c r="N8" s="22"/>
    </row>
    <row r="9" spans="1:14" x14ac:dyDescent="0.3">
      <c r="A9" s="22"/>
      <c r="B9" s="25" t="s">
        <v>4</v>
      </c>
      <c r="C9" s="26">
        <v>0</v>
      </c>
      <c r="D9" s="27">
        <v>15000</v>
      </c>
      <c r="E9" s="27">
        <v>30000</v>
      </c>
      <c r="F9" s="27">
        <f>SUM(C9:E9)</f>
        <v>45000</v>
      </c>
      <c r="G9" s="22"/>
      <c r="H9" s="28" t="s">
        <v>4</v>
      </c>
      <c r="I9" s="29">
        <f t="shared" si="2"/>
        <v>0</v>
      </c>
      <c r="J9" s="29">
        <f t="shared" si="3"/>
        <v>1</v>
      </c>
      <c r="K9" s="29">
        <f t="shared" si="4"/>
        <v>1</v>
      </c>
      <c r="L9" s="22"/>
      <c r="M9" s="22"/>
      <c r="N9" s="22"/>
    </row>
    <row r="10" spans="1:14" x14ac:dyDescent="0.3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</row>
    <row r="11" spans="1:14" x14ac:dyDescent="0.3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</row>
    <row r="12" spans="1:14" x14ac:dyDescent="0.3">
      <c r="A12" s="22"/>
      <c r="B12" s="22"/>
      <c r="C12" s="22"/>
      <c r="D12" s="22"/>
      <c r="E12" s="22"/>
      <c r="F12" s="22"/>
      <c r="G12" s="22"/>
      <c r="H12" s="34"/>
      <c r="I12" s="34"/>
      <c r="J12" s="34"/>
      <c r="K12" s="34"/>
      <c r="L12" s="34"/>
      <c r="M12" s="22"/>
      <c r="N12" s="22"/>
    </row>
    <row r="13" spans="1:14" x14ac:dyDescent="0.3">
      <c r="A13" s="22"/>
      <c r="B13" s="31" t="s">
        <v>137</v>
      </c>
      <c r="C13" s="31" t="s">
        <v>133</v>
      </c>
      <c r="D13" s="31" t="s">
        <v>134</v>
      </c>
      <c r="E13" s="31" t="s">
        <v>135</v>
      </c>
      <c r="F13" s="22"/>
      <c r="G13" s="22"/>
      <c r="H13" s="43"/>
      <c r="I13" s="43"/>
      <c r="J13" s="43"/>
      <c r="K13" s="43"/>
      <c r="L13" s="43"/>
      <c r="M13" s="22"/>
      <c r="N13" s="22"/>
    </row>
    <row r="14" spans="1:14" x14ac:dyDescent="0.3">
      <c r="A14" s="22"/>
      <c r="B14" s="32" t="s">
        <v>1</v>
      </c>
      <c r="C14" s="3">
        <v>0</v>
      </c>
      <c r="D14" s="33">
        <v>500</v>
      </c>
      <c r="E14" s="33">
        <v>500</v>
      </c>
      <c r="F14" s="22"/>
      <c r="G14" s="22"/>
      <c r="H14" s="22"/>
      <c r="I14" s="44"/>
      <c r="J14" s="44"/>
      <c r="K14" s="44"/>
      <c r="L14" s="44"/>
      <c r="M14" s="22"/>
      <c r="N14" s="22"/>
    </row>
    <row r="15" spans="1:14" x14ac:dyDescent="0.3">
      <c r="A15" s="22"/>
      <c r="B15" s="32" t="s">
        <v>2</v>
      </c>
      <c r="C15" s="33">
        <v>2500</v>
      </c>
      <c r="D15" s="3">
        <v>0</v>
      </c>
      <c r="E15" s="33">
        <v>300</v>
      </c>
      <c r="F15" s="22"/>
      <c r="G15" s="22"/>
      <c r="H15" s="22"/>
      <c r="I15" s="44"/>
      <c r="J15" s="44"/>
      <c r="K15" s="44"/>
      <c r="L15" s="44"/>
      <c r="M15" s="22"/>
      <c r="N15" s="22"/>
    </row>
    <row r="16" spans="1:14" x14ac:dyDescent="0.3">
      <c r="A16" s="22"/>
      <c r="B16" s="32" t="s">
        <v>3</v>
      </c>
      <c r="C16" s="33">
        <v>1000</v>
      </c>
      <c r="D16" s="33">
        <v>800</v>
      </c>
      <c r="E16" s="33">
        <v>300</v>
      </c>
      <c r="F16" s="22"/>
      <c r="G16" s="22"/>
      <c r="H16" s="22"/>
      <c r="I16" s="44"/>
      <c r="J16" s="44"/>
      <c r="K16" s="44"/>
      <c r="L16" s="44"/>
      <c r="M16" s="22"/>
      <c r="N16" s="22"/>
    </row>
    <row r="17" spans="1:14" x14ac:dyDescent="0.3">
      <c r="A17" s="22"/>
      <c r="B17" s="32" t="s">
        <v>5</v>
      </c>
      <c r="C17" s="33">
        <v>1000</v>
      </c>
      <c r="D17" s="33">
        <v>800</v>
      </c>
      <c r="E17" s="33">
        <v>500</v>
      </c>
      <c r="F17" s="22"/>
      <c r="G17" s="22"/>
      <c r="H17" s="22"/>
      <c r="I17" s="44"/>
      <c r="J17" s="44"/>
      <c r="K17" s="44"/>
      <c r="L17" s="44"/>
      <c r="M17" s="22"/>
      <c r="N17" s="22"/>
    </row>
    <row r="18" spans="1:14" x14ac:dyDescent="0.3">
      <c r="A18" s="22"/>
      <c r="B18" s="32" t="s">
        <v>6</v>
      </c>
      <c r="C18" s="33">
        <v>1000</v>
      </c>
      <c r="D18" s="33">
        <v>706.66666666666674</v>
      </c>
      <c r="E18" s="33">
        <v>300</v>
      </c>
      <c r="F18" s="22"/>
      <c r="G18" s="22"/>
      <c r="H18" s="22"/>
      <c r="I18" s="44"/>
      <c r="J18" s="44"/>
      <c r="K18" s="44"/>
      <c r="L18" s="44"/>
      <c r="M18" s="22"/>
      <c r="N18" s="22"/>
    </row>
    <row r="19" spans="1:14" x14ac:dyDescent="0.3">
      <c r="A19" s="22"/>
      <c r="B19" s="32" t="s">
        <v>4</v>
      </c>
      <c r="C19" s="3">
        <v>0</v>
      </c>
      <c r="D19" s="33">
        <v>500</v>
      </c>
      <c r="E19" s="33">
        <v>300</v>
      </c>
      <c r="F19" s="22"/>
      <c r="G19" s="22"/>
      <c r="H19" s="22"/>
      <c r="I19" s="44"/>
      <c r="J19" s="44"/>
      <c r="K19" s="44"/>
      <c r="L19" s="44"/>
      <c r="M19" s="22"/>
      <c r="N19" s="22"/>
    </row>
    <row r="20" spans="1:14" x14ac:dyDescent="0.3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</row>
    <row r="21" spans="1:14" x14ac:dyDescent="0.3">
      <c r="A21" s="22"/>
      <c r="K21" s="22"/>
      <c r="L21" s="22"/>
      <c r="M21" s="22"/>
      <c r="N21" s="22"/>
    </row>
    <row r="22" spans="1:14" x14ac:dyDescent="0.3">
      <c r="A22" s="22"/>
      <c r="K22" s="22"/>
      <c r="L22" s="22"/>
      <c r="M22" s="22"/>
      <c r="N22" s="22"/>
    </row>
    <row r="23" spans="1:14" x14ac:dyDescent="0.3">
      <c r="A23" s="23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</row>
    <row r="24" spans="1:14" x14ac:dyDescent="0.3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</row>
    <row r="25" spans="1:14" x14ac:dyDescent="0.3">
      <c r="A25" s="22"/>
      <c r="B25" s="31" t="s">
        <v>144</v>
      </c>
      <c r="C25" s="31" t="s">
        <v>133</v>
      </c>
      <c r="D25" s="31" t="s">
        <v>134</v>
      </c>
      <c r="E25" s="31" t="s">
        <v>135</v>
      </c>
      <c r="F25" s="31" t="s">
        <v>9</v>
      </c>
      <c r="G25" s="22"/>
      <c r="H25" s="41" t="s">
        <v>139</v>
      </c>
      <c r="I25" s="38"/>
      <c r="J25" s="22"/>
      <c r="K25" s="22"/>
      <c r="L25" s="22"/>
      <c r="M25" s="22"/>
      <c r="N25" s="22"/>
    </row>
    <row r="26" spans="1:14" x14ac:dyDescent="0.3">
      <c r="A26" s="22"/>
      <c r="B26" s="32" t="s">
        <v>1</v>
      </c>
      <c r="C26" s="3">
        <f t="shared" ref="C26:E31" si="5">C4*C14</f>
        <v>0</v>
      </c>
      <c r="D26" s="3">
        <f t="shared" si="5"/>
        <v>5000000</v>
      </c>
      <c r="E26" s="3">
        <f t="shared" si="5"/>
        <v>7500000</v>
      </c>
      <c r="F26" s="3">
        <f t="shared" ref="F26:F31" si="6">SUM(C26:E26)</f>
        <v>12500000</v>
      </c>
      <c r="G26" s="22"/>
      <c r="H26" s="39" t="s">
        <v>1</v>
      </c>
      <c r="I26" s="39">
        <v>800000</v>
      </c>
      <c r="J26" s="22"/>
      <c r="K26" s="22"/>
      <c r="L26" s="22"/>
      <c r="M26" s="22"/>
      <c r="N26" s="22"/>
    </row>
    <row r="27" spans="1:14" x14ac:dyDescent="0.3">
      <c r="A27" s="22"/>
      <c r="B27" s="32" t="s">
        <v>2</v>
      </c>
      <c r="C27" s="3">
        <f t="shared" si="5"/>
        <v>10000000</v>
      </c>
      <c r="D27" s="3">
        <f t="shared" si="5"/>
        <v>0</v>
      </c>
      <c r="E27" s="3">
        <f t="shared" si="5"/>
        <v>7800000</v>
      </c>
      <c r="F27" s="3">
        <f t="shared" si="6"/>
        <v>17800000</v>
      </c>
      <c r="G27" s="22"/>
      <c r="H27" s="39" t="s">
        <v>2</v>
      </c>
      <c r="I27" s="39">
        <v>1200000</v>
      </c>
      <c r="J27" s="22"/>
      <c r="K27" s="22"/>
      <c r="L27" s="22"/>
      <c r="M27" s="22"/>
      <c r="N27" s="22"/>
    </row>
    <row r="28" spans="1:14" x14ac:dyDescent="0.3">
      <c r="A28" s="22"/>
      <c r="B28" s="32" t="s">
        <v>3</v>
      </c>
      <c r="C28" s="3">
        <f t="shared" si="5"/>
        <v>7000000</v>
      </c>
      <c r="D28" s="3">
        <f t="shared" si="5"/>
        <v>12000000</v>
      </c>
      <c r="E28" s="3">
        <f t="shared" si="5"/>
        <v>5700000</v>
      </c>
      <c r="F28" s="3">
        <f t="shared" si="6"/>
        <v>24700000</v>
      </c>
      <c r="G28" s="22"/>
      <c r="H28" s="39" t="s">
        <v>3</v>
      </c>
      <c r="I28" s="39">
        <v>1600000</v>
      </c>
      <c r="J28" s="22"/>
      <c r="K28" s="22"/>
      <c r="L28" s="22"/>
      <c r="M28" s="22"/>
      <c r="N28" s="22"/>
    </row>
    <row r="29" spans="1:14" x14ac:dyDescent="0.3">
      <c r="A29" s="22"/>
      <c r="B29" s="32" t="s">
        <v>5</v>
      </c>
      <c r="C29" s="3">
        <f t="shared" si="5"/>
        <v>7000000</v>
      </c>
      <c r="D29" s="3">
        <f t="shared" si="5"/>
        <v>12000000</v>
      </c>
      <c r="E29" s="3">
        <f t="shared" si="5"/>
        <v>15000000</v>
      </c>
      <c r="F29" s="3">
        <f t="shared" si="6"/>
        <v>34000000</v>
      </c>
      <c r="G29" s="22"/>
      <c r="H29" s="39" t="s">
        <v>5</v>
      </c>
      <c r="I29" s="39">
        <v>8000000</v>
      </c>
      <c r="J29" s="22"/>
      <c r="K29" s="22"/>
      <c r="L29" s="22"/>
      <c r="M29" s="22"/>
      <c r="N29" s="22"/>
    </row>
    <row r="30" spans="1:14" x14ac:dyDescent="0.3">
      <c r="A30" s="22"/>
      <c r="B30" s="32" t="s">
        <v>6</v>
      </c>
      <c r="C30" s="3">
        <f t="shared" si="5"/>
        <v>6000000</v>
      </c>
      <c r="D30" s="3">
        <f t="shared" si="5"/>
        <v>10600000.000000002</v>
      </c>
      <c r="E30" s="3">
        <f t="shared" si="5"/>
        <v>7500000</v>
      </c>
      <c r="F30" s="3">
        <f t="shared" si="6"/>
        <v>24100000</v>
      </c>
      <c r="G30" s="22"/>
      <c r="H30" s="39" t="s">
        <v>6</v>
      </c>
      <c r="I30" s="39">
        <v>5000000</v>
      </c>
      <c r="J30" s="22"/>
      <c r="K30" s="22"/>
      <c r="L30" s="22"/>
      <c r="M30" s="22"/>
      <c r="N30" s="22"/>
    </row>
    <row r="31" spans="1:14" x14ac:dyDescent="0.3">
      <c r="A31" s="22"/>
      <c r="B31" s="32" t="s">
        <v>4</v>
      </c>
      <c r="C31" s="3">
        <f t="shared" si="5"/>
        <v>0</v>
      </c>
      <c r="D31" s="3">
        <f t="shared" si="5"/>
        <v>7500000</v>
      </c>
      <c r="E31" s="3">
        <f t="shared" si="5"/>
        <v>9000000</v>
      </c>
      <c r="F31" s="3">
        <f t="shared" si="6"/>
        <v>16500000</v>
      </c>
      <c r="G31" s="22"/>
      <c r="H31" s="39" t="s">
        <v>4</v>
      </c>
      <c r="I31" s="39">
        <v>3000000</v>
      </c>
      <c r="J31" s="22"/>
      <c r="K31" s="22"/>
      <c r="L31" s="22"/>
      <c r="M31" s="22"/>
      <c r="N31" s="22"/>
    </row>
    <row r="32" spans="1:14" x14ac:dyDescent="0.3">
      <c r="A32" s="22"/>
      <c r="B32" s="32" t="s">
        <v>9</v>
      </c>
      <c r="C32" s="3">
        <f>SUM(C26:C31)</f>
        <v>30000000</v>
      </c>
      <c r="D32" s="3">
        <f>SUM(D26:D31)</f>
        <v>47100000</v>
      </c>
      <c r="E32" s="3">
        <f>SUM(E26:E31)</f>
        <v>52500000</v>
      </c>
      <c r="F32" s="33">
        <f>SUM(F26:F31)</f>
        <v>129600000</v>
      </c>
      <c r="G32" s="22"/>
      <c r="H32" s="38" t="s">
        <v>142</v>
      </c>
      <c r="I32" s="38">
        <f>SUM(I26:I31)</f>
        <v>19600000</v>
      </c>
      <c r="J32" s="22"/>
      <c r="K32" s="22"/>
      <c r="L32" s="22"/>
      <c r="M32" s="22"/>
      <c r="N32" s="22"/>
    </row>
    <row r="33" spans="1:14" x14ac:dyDescent="0.3">
      <c r="A33" s="22"/>
      <c r="G33" s="22"/>
      <c r="H33" s="22"/>
      <c r="I33" s="22"/>
      <c r="J33" s="22"/>
      <c r="K33" s="22"/>
      <c r="L33" s="22"/>
      <c r="M33" s="22"/>
      <c r="N33" s="22"/>
    </row>
    <row r="34" spans="1:14" x14ac:dyDescent="0.3">
      <c r="H34" s="40" t="s">
        <v>143</v>
      </c>
      <c r="I34" s="40">
        <v>110000000</v>
      </c>
      <c r="J34" s="22"/>
    </row>
    <row r="35" spans="1:14" x14ac:dyDescent="0.3">
      <c r="H35" s="22"/>
      <c r="I35" s="22"/>
      <c r="J35" s="22"/>
    </row>
    <row r="36" spans="1:14" x14ac:dyDescent="0.3">
      <c r="B36" s="37" t="s">
        <v>138</v>
      </c>
      <c r="C36" s="37" t="s">
        <v>133</v>
      </c>
      <c r="D36" s="37" t="s">
        <v>134</v>
      </c>
      <c r="E36" s="37" t="s">
        <v>135</v>
      </c>
      <c r="F36" s="37" t="s">
        <v>9</v>
      </c>
      <c r="G36" s="22"/>
    </row>
    <row r="37" spans="1:14" x14ac:dyDescent="0.3">
      <c r="B37" s="35" t="s">
        <v>1</v>
      </c>
      <c r="C37" s="36">
        <f>C26-(C4/F4*$I$26)</f>
        <v>0</v>
      </c>
      <c r="D37" s="36">
        <f>D26-(D4/F4*$I$26)</f>
        <v>4680000</v>
      </c>
      <c r="E37" s="36">
        <f>E26-(E4/F4*$I$26)</f>
        <v>7020000</v>
      </c>
      <c r="F37" s="36">
        <f>SUM(C37:E37)</f>
        <v>11700000</v>
      </c>
      <c r="G37" s="22"/>
    </row>
    <row r="38" spans="1:14" x14ac:dyDescent="0.3">
      <c r="B38" s="35" t="s">
        <v>2</v>
      </c>
      <c r="C38" s="36">
        <f>C27-(C5/F5*$I$27)</f>
        <v>9840000</v>
      </c>
      <c r="D38" s="36">
        <f>D27-(D5/F5*$I$27)</f>
        <v>0</v>
      </c>
      <c r="E38" s="36">
        <f>E27-(E5/F5*$I$27)</f>
        <v>6760000</v>
      </c>
      <c r="F38" s="36">
        <f t="shared" ref="F38:F42" si="7">SUM(C38:E38)</f>
        <v>16600000</v>
      </c>
    </row>
    <row r="39" spans="1:14" x14ac:dyDescent="0.3">
      <c r="B39" s="35" t="s">
        <v>3</v>
      </c>
      <c r="C39" s="36">
        <f>C28-(C6/F6*$I$28)</f>
        <v>6726829.2682926832</v>
      </c>
      <c r="D39" s="36">
        <f>D28-(D6/F6*$I$28)</f>
        <v>11414634.146341464</v>
      </c>
      <c r="E39" s="36">
        <f>E28-(E6/F6*$I$28)</f>
        <v>4958536.5853658533</v>
      </c>
      <c r="F39" s="36">
        <f>SUM(C39:E39)</f>
        <v>23100000</v>
      </c>
    </row>
    <row r="40" spans="1:14" x14ac:dyDescent="0.3">
      <c r="B40" s="35" t="s">
        <v>5</v>
      </c>
      <c r="C40" s="36">
        <f>C29-(C7/F7*$I$29)</f>
        <v>5923076.923076923</v>
      </c>
      <c r="D40" s="36">
        <f>D29-(D7/F7*$I$29)</f>
        <v>9692307.692307692</v>
      </c>
      <c r="E40" s="36">
        <f>E29-(E7/F7*$I$29)</f>
        <v>10384615.384615384</v>
      </c>
      <c r="F40" s="36">
        <f>SUM(C40:E40)</f>
        <v>26000000</v>
      </c>
    </row>
    <row r="41" spans="1:14" x14ac:dyDescent="0.3">
      <c r="B41" s="35" t="s">
        <v>6</v>
      </c>
      <c r="C41" s="36">
        <f>C30-(C8/F8*$I$30)</f>
        <v>5347826.0869565215</v>
      </c>
      <c r="D41" s="36">
        <f>D30-(D8/F8*$I$30)</f>
        <v>8969565.2173913065</v>
      </c>
      <c r="E41" s="36">
        <f>E30-(E8/F8*$I$30)</f>
        <v>4782608.6956521738</v>
      </c>
      <c r="F41" s="36">
        <f>SUM(C41:E41)</f>
        <v>19100000</v>
      </c>
    </row>
    <row r="42" spans="1:14" x14ac:dyDescent="0.3">
      <c r="B42" s="35" t="s">
        <v>4</v>
      </c>
      <c r="C42" s="36">
        <f>C31-(C9/F9*$I$26)</f>
        <v>0</v>
      </c>
      <c r="D42" s="36">
        <f>D31-(D9/F9*$I$31)</f>
        <v>6500000</v>
      </c>
      <c r="E42" s="36">
        <f>E31-(E9/F9*$I$31)</f>
        <v>7000000</v>
      </c>
      <c r="F42" s="36">
        <f t="shared" si="7"/>
        <v>13500000</v>
      </c>
    </row>
    <row r="43" spans="1:14" x14ac:dyDescent="0.3">
      <c r="B43" s="37" t="s">
        <v>141</v>
      </c>
      <c r="C43" s="42">
        <f>SUM(C37:C42)</f>
        <v>27837732.278326131</v>
      </c>
      <c r="D43" s="42">
        <f>SUM(D37:D42)</f>
        <v>41256507.056040458</v>
      </c>
      <c r="E43" s="42">
        <f>SUM(E37:E42)</f>
        <v>40905760.66563341</v>
      </c>
      <c r="F43" s="37">
        <f>SUM(F37:F42)</f>
        <v>110000000</v>
      </c>
    </row>
    <row r="47" spans="1:14" x14ac:dyDescent="0.3">
      <c r="B47" s="22"/>
      <c r="C47" s="22"/>
      <c r="D47" s="22"/>
      <c r="E47" s="22"/>
      <c r="F47" s="2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ECDE5-689F-48DA-A9FC-6044923F7AB6}">
  <dimension ref="A1:H34"/>
  <sheetViews>
    <sheetView showGridLines="0" tabSelected="1" workbookViewId="0">
      <selection activeCell="J13" sqref="J13"/>
    </sheetView>
  </sheetViews>
  <sheetFormatPr baseColWidth="10" defaultColWidth="8.796875" defaultRowHeight="15.6" x14ac:dyDescent="0.3"/>
  <cols>
    <col min="1" max="1" width="2.19921875" customWidth="1"/>
    <col min="2" max="2" width="6.19921875" bestFit="1" customWidth="1"/>
    <col min="3" max="3" width="18.796875" bestFit="1" customWidth="1"/>
    <col min="4" max="4" width="11.8984375" bestFit="1" customWidth="1"/>
    <col min="5" max="5" width="12.5" bestFit="1" customWidth="1"/>
    <col min="6" max="6" width="10.09765625" bestFit="1" customWidth="1"/>
    <col min="7" max="7" width="11.8984375" bestFit="1" customWidth="1"/>
    <col min="8" max="8" width="9" bestFit="1" customWidth="1"/>
  </cols>
  <sheetData>
    <row r="1" spans="1:8" x14ac:dyDescent="0.3">
      <c r="A1" s="8" t="s">
        <v>185</v>
      </c>
    </row>
    <row r="2" spans="1:8" x14ac:dyDescent="0.3">
      <c r="A2" s="8" t="s">
        <v>186</v>
      </c>
    </row>
    <row r="3" spans="1:8" x14ac:dyDescent="0.3">
      <c r="A3" s="8" t="s">
        <v>187</v>
      </c>
    </row>
    <row r="6" spans="1:8" ht="16.2" thickBot="1" x14ac:dyDescent="0.35">
      <c r="A6" t="s">
        <v>188</v>
      </c>
    </row>
    <row r="7" spans="1:8" x14ac:dyDescent="0.3">
      <c r="B7" s="20"/>
      <c r="C7" s="20"/>
      <c r="D7" s="20" t="s">
        <v>191</v>
      </c>
      <c r="E7" s="20" t="s">
        <v>193</v>
      </c>
      <c r="F7" s="20" t="s">
        <v>195</v>
      </c>
      <c r="G7" s="20" t="s">
        <v>197</v>
      </c>
      <c r="H7" s="20" t="s">
        <v>197</v>
      </c>
    </row>
    <row r="8" spans="1:8" ht="16.2" thickBot="1" x14ac:dyDescent="0.35">
      <c r="B8" s="21" t="s">
        <v>189</v>
      </c>
      <c r="C8" s="21" t="s">
        <v>190</v>
      </c>
      <c r="D8" s="21" t="s">
        <v>192</v>
      </c>
      <c r="E8" s="21" t="s">
        <v>194</v>
      </c>
      <c r="F8" s="21" t="s">
        <v>196</v>
      </c>
      <c r="G8" s="21" t="s">
        <v>198</v>
      </c>
      <c r="H8" s="21" t="s">
        <v>199</v>
      </c>
    </row>
    <row r="9" spans="1:8" x14ac:dyDescent="0.3">
      <c r="B9" s="18" t="s">
        <v>146</v>
      </c>
      <c r="C9" s="18" t="s">
        <v>147</v>
      </c>
      <c r="D9" s="18">
        <v>0</v>
      </c>
      <c r="E9" s="18">
        <v>0</v>
      </c>
      <c r="F9" s="18">
        <v>0</v>
      </c>
      <c r="G9" s="18">
        <v>0</v>
      </c>
      <c r="H9" s="18">
        <v>1E+30</v>
      </c>
    </row>
    <row r="10" spans="1:8" x14ac:dyDescent="0.3">
      <c r="B10" s="18" t="s">
        <v>148</v>
      </c>
      <c r="C10" s="18" t="s">
        <v>149</v>
      </c>
      <c r="D10" s="18">
        <v>500</v>
      </c>
      <c r="E10" s="18">
        <v>-1.8189894035458565E-12</v>
      </c>
      <c r="F10" s="18">
        <v>10000</v>
      </c>
      <c r="G10" s="18">
        <v>1.8189894035458565E-12</v>
      </c>
      <c r="H10" s="18">
        <v>1E+30</v>
      </c>
    </row>
    <row r="11" spans="1:8" x14ac:dyDescent="0.3">
      <c r="B11" s="45" t="s">
        <v>150</v>
      </c>
      <c r="C11" s="45" t="s">
        <v>151</v>
      </c>
      <c r="D11" s="45">
        <v>426.66666666666669</v>
      </c>
      <c r="E11" s="45">
        <v>0</v>
      </c>
      <c r="F11" s="45">
        <v>60000</v>
      </c>
      <c r="G11" s="45">
        <v>0</v>
      </c>
      <c r="H11" s="45">
        <v>0</v>
      </c>
    </row>
    <row r="12" spans="1:8" x14ac:dyDescent="0.3">
      <c r="B12" s="18" t="s">
        <v>152</v>
      </c>
      <c r="C12" s="18" t="s">
        <v>153</v>
      </c>
      <c r="D12" s="18">
        <v>2500</v>
      </c>
      <c r="E12" s="18">
        <v>0</v>
      </c>
      <c r="F12" s="18">
        <v>4000</v>
      </c>
      <c r="G12" s="18">
        <v>1E+30</v>
      </c>
      <c r="H12" s="18">
        <v>0</v>
      </c>
    </row>
    <row r="13" spans="1:8" x14ac:dyDescent="0.3">
      <c r="B13" s="18" t="s">
        <v>154</v>
      </c>
      <c r="C13" s="18" t="s">
        <v>155</v>
      </c>
      <c r="D13" s="18">
        <v>0</v>
      </c>
      <c r="E13" s="18">
        <v>0</v>
      </c>
      <c r="F13" s="18">
        <v>0</v>
      </c>
      <c r="G13" s="18">
        <v>0</v>
      </c>
      <c r="H13" s="18">
        <v>1E+30</v>
      </c>
    </row>
    <row r="14" spans="1:8" x14ac:dyDescent="0.3">
      <c r="B14" s="18" t="s">
        <v>156</v>
      </c>
      <c r="C14" s="18" t="s">
        <v>157</v>
      </c>
      <c r="D14" s="18">
        <v>300</v>
      </c>
      <c r="E14" s="18">
        <v>0</v>
      </c>
      <c r="F14" s="18">
        <v>26000</v>
      </c>
      <c r="G14" s="18">
        <v>0</v>
      </c>
      <c r="H14" s="18">
        <v>1E+30</v>
      </c>
    </row>
    <row r="15" spans="1:8" x14ac:dyDescent="0.3">
      <c r="B15" s="18" t="s">
        <v>158</v>
      </c>
      <c r="C15" s="18" t="s">
        <v>159</v>
      </c>
      <c r="D15" s="18">
        <v>1000</v>
      </c>
      <c r="E15" s="18">
        <v>0</v>
      </c>
      <c r="F15" s="18">
        <v>7000</v>
      </c>
      <c r="G15" s="18">
        <v>0</v>
      </c>
      <c r="H15" s="18">
        <v>1E+30</v>
      </c>
    </row>
    <row r="16" spans="1:8" x14ac:dyDescent="0.3">
      <c r="B16" s="18" t="s">
        <v>160</v>
      </c>
      <c r="C16" s="18" t="s">
        <v>161</v>
      </c>
      <c r="D16" s="18">
        <v>500</v>
      </c>
      <c r="E16" s="18">
        <v>0</v>
      </c>
      <c r="F16" s="18">
        <v>15000</v>
      </c>
      <c r="G16" s="18">
        <v>0</v>
      </c>
      <c r="H16" s="18">
        <v>1E+30</v>
      </c>
    </row>
    <row r="17" spans="1:8" x14ac:dyDescent="0.3">
      <c r="B17" s="18" t="s">
        <v>162</v>
      </c>
      <c r="C17" s="18" t="s">
        <v>163</v>
      </c>
      <c r="D17" s="18">
        <v>300</v>
      </c>
      <c r="E17" s="18">
        <v>-3.637978807091713E-12</v>
      </c>
      <c r="F17" s="18">
        <v>19000</v>
      </c>
      <c r="G17" s="18">
        <v>3.637978807091713E-12</v>
      </c>
      <c r="H17" s="18">
        <v>1E+30</v>
      </c>
    </row>
    <row r="18" spans="1:8" x14ac:dyDescent="0.3">
      <c r="B18" s="18" t="s">
        <v>164</v>
      </c>
      <c r="C18" s="18" t="s">
        <v>165</v>
      </c>
      <c r="D18" s="18">
        <v>1000</v>
      </c>
      <c r="E18" s="18">
        <v>0</v>
      </c>
      <c r="F18" s="18">
        <v>7000</v>
      </c>
      <c r="G18" s="18">
        <v>0</v>
      </c>
      <c r="H18" s="18">
        <v>1E+30</v>
      </c>
    </row>
    <row r="19" spans="1:8" x14ac:dyDescent="0.3">
      <c r="B19" s="18" t="s">
        <v>166</v>
      </c>
      <c r="C19" s="18" t="s">
        <v>167</v>
      </c>
      <c r="D19" s="18">
        <v>500</v>
      </c>
      <c r="E19" s="18">
        <v>0</v>
      </c>
      <c r="F19" s="18">
        <v>15000</v>
      </c>
      <c r="G19" s="18">
        <v>0</v>
      </c>
      <c r="H19" s="18">
        <v>1E+30</v>
      </c>
    </row>
    <row r="20" spans="1:8" x14ac:dyDescent="0.3">
      <c r="B20" s="18" t="s">
        <v>168</v>
      </c>
      <c r="C20" s="18" t="s">
        <v>169</v>
      </c>
      <c r="D20" s="18">
        <v>300</v>
      </c>
      <c r="E20" s="18">
        <v>0</v>
      </c>
      <c r="F20" s="18">
        <v>30000</v>
      </c>
      <c r="G20" s="18">
        <v>0</v>
      </c>
      <c r="H20" s="18">
        <v>1E+30</v>
      </c>
    </row>
    <row r="21" spans="1:8" x14ac:dyDescent="0.3">
      <c r="B21" s="18" t="s">
        <v>170</v>
      </c>
      <c r="C21" s="18" t="s">
        <v>171</v>
      </c>
      <c r="D21" s="18">
        <v>1000</v>
      </c>
      <c r="E21" s="18">
        <v>0</v>
      </c>
      <c r="F21" s="18">
        <v>6000</v>
      </c>
      <c r="G21" s="18">
        <v>0</v>
      </c>
      <c r="H21" s="18">
        <v>1E+30</v>
      </c>
    </row>
    <row r="22" spans="1:8" x14ac:dyDescent="0.3">
      <c r="B22" s="18" t="s">
        <v>172</v>
      </c>
      <c r="C22" s="18" t="s">
        <v>173</v>
      </c>
      <c r="D22" s="18">
        <v>500</v>
      </c>
      <c r="E22" s="18">
        <v>0</v>
      </c>
      <c r="F22" s="18">
        <v>15000</v>
      </c>
      <c r="G22" s="18">
        <v>0</v>
      </c>
      <c r="H22" s="18">
        <v>1E+30</v>
      </c>
    </row>
    <row r="23" spans="1:8" x14ac:dyDescent="0.3">
      <c r="B23" s="18" t="s">
        <v>174</v>
      </c>
      <c r="C23" s="18" t="s">
        <v>175</v>
      </c>
      <c r="D23" s="18">
        <v>300</v>
      </c>
      <c r="E23" s="18">
        <v>0</v>
      </c>
      <c r="F23" s="18">
        <v>25000</v>
      </c>
      <c r="G23" s="18">
        <v>0</v>
      </c>
      <c r="H23" s="18">
        <v>1E+30</v>
      </c>
    </row>
    <row r="24" spans="1:8" x14ac:dyDescent="0.3">
      <c r="B24" s="18" t="s">
        <v>37</v>
      </c>
      <c r="C24" s="18" t="s">
        <v>176</v>
      </c>
      <c r="D24" s="18">
        <v>0</v>
      </c>
      <c r="E24" s="18">
        <v>0</v>
      </c>
      <c r="F24" s="18">
        <v>0</v>
      </c>
      <c r="G24" s="18">
        <v>0</v>
      </c>
      <c r="H24" s="18">
        <v>1E+30</v>
      </c>
    </row>
    <row r="25" spans="1:8" x14ac:dyDescent="0.3">
      <c r="B25" s="18" t="s">
        <v>39</v>
      </c>
      <c r="C25" s="18" t="s">
        <v>177</v>
      </c>
      <c r="D25" s="18">
        <v>500</v>
      </c>
      <c r="E25" s="18">
        <v>0</v>
      </c>
      <c r="F25" s="18">
        <v>15000</v>
      </c>
      <c r="G25" s="18">
        <v>0</v>
      </c>
      <c r="H25" s="18">
        <v>1E+30</v>
      </c>
    </row>
    <row r="26" spans="1:8" ht="16.2" thickBot="1" x14ac:dyDescent="0.35">
      <c r="B26" s="19" t="s">
        <v>41</v>
      </c>
      <c r="C26" s="19" t="s">
        <v>178</v>
      </c>
      <c r="D26" s="19">
        <v>300</v>
      </c>
      <c r="E26" s="19">
        <v>0</v>
      </c>
      <c r="F26" s="19">
        <v>30000</v>
      </c>
      <c r="G26" s="19">
        <v>0</v>
      </c>
      <c r="H26" s="19">
        <v>1E+30</v>
      </c>
    </row>
    <row r="28" spans="1:8" ht="16.2" thickBot="1" x14ac:dyDescent="0.35">
      <c r="A28" t="s">
        <v>200</v>
      </c>
    </row>
    <row r="29" spans="1:8" x14ac:dyDescent="0.3">
      <c r="B29" s="20"/>
      <c r="C29" s="20"/>
      <c r="D29" s="20" t="s">
        <v>191</v>
      </c>
      <c r="E29" s="20" t="s">
        <v>201</v>
      </c>
      <c r="F29" s="20" t="s">
        <v>203</v>
      </c>
      <c r="G29" s="20" t="s">
        <v>197</v>
      </c>
      <c r="H29" s="20" t="s">
        <v>197</v>
      </c>
    </row>
    <row r="30" spans="1:8" ht="16.2" thickBot="1" x14ac:dyDescent="0.35">
      <c r="B30" s="21" t="s">
        <v>189</v>
      </c>
      <c r="C30" s="21" t="s">
        <v>190</v>
      </c>
      <c r="D30" s="21" t="s">
        <v>192</v>
      </c>
      <c r="E30" s="21" t="s">
        <v>202</v>
      </c>
      <c r="F30" s="21" t="s">
        <v>204</v>
      </c>
      <c r="G30" s="21" t="s">
        <v>198</v>
      </c>
      <c r="H30" s="21" t="s">
        <v>199</v>
      </c>
    </row>
    <row r="31" spans="1:8" x14ac:dyDescent="0.3">
      <c r="B31" s="18" t="s">
        <v>181</v>
      </c>
      <c r="C31" s="18" t="s">
        <v>176</v>
      </c>
      <c r="D31" s="18">
        <v>0</v>
      </c>
      <c r="E31" s="18">
        <v>0</v>
      </c>
      <c r="F31" s="18">
        <v>0</v>
      </c>
      <c r="G31" s="18">
        <v>0</v>
      </c>
      <c r="H31" s="18">
        <v>1E+30</v>
      </c>
    </row>
    <row r="32" spans="1:8" x14ac:dyDescent="0.3">
      <c r="B32" s="18" t="s">
        <v>183</v>
      </c>
      <c r="C32" s="18" t="s">
        <v>179</v>
      </c>
      <c r="D32" s="18">
        <v>110000000</v>
      </c>
      <c r="E32" s="18">
        <v>1</v>
      </c>
      <c r="F32" s="18">
        <v>110000000</v>
      </c>
      <c r="G32" s="18">
        <v>4399999.9999999991</v>
      </c>
      <c r="H32" s="18">
        <v>7600000.0000000009</v>
      </c>
    </row>
    <row r="33" spans="2:8" x14ac:dyDescent="0.3">
      <c r="B33" s="18" t="s">
        <v>182</v>
      </c>
      <c r="C33" s="18" t="s">
        <v>155</v>
      </c>
      <c r="D33" s="18">
        <v>0</v>
      </c>
      <c r="E33" s="18">
        <v>0</v>
      </c>
      <c r="F33" s="18">
        <v>0</v>
      </c>
      <c r="G33" s="18">
        <v>0</v>
      </c>
      <c r="H33" s="18">
        <v>1E+30</v>
      </c>
    </row>
    <row r="34" spans="2:8" ht="16.2" thickBot="1" x14ac:dyDescent="0.35">
      <c r="B34" s="19" t="s">
        <v>180</v>
      </c>
      <c r="C34" s="19" t="s">
        <v>147</v>
      </c>
      <c r="D34" s="19">
        <v>0</v>
      </c>
      <c r="E34" s="19">
        <v>0</v>
      </c>
      <c r="F34" s="19">
        <v>0</v>
      </c>
      <c r="G34" s="19">
        <v>0</v>
      </c>
      <c r="H34" s="19">
        <v>1E+30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7D185-F674-4151-8180-FAD94606E910}">
  <dimension ref="A2:N47"/>
  <sheetViews>
    <sheetView topLeftCell="A3" zoomScale="63" zoomScaleNormal="168" workbookViewId="0">
      <selection activeCell="I12" sqref="I12"/>
    </sheetView>
  </sheetViews>
  <sheetFormatPr baseColWidth="10" defaultColWidth="11.19921875" defaultRowHeight="15.6" x14ac:dyDescent="0.3"/>
  <cols>
    <col min="2" max="2" width="16.69921875" customWidth="1"/>
    <col min="3" max="3" width="16.59765625" customWidth="1"/>
    <col min="4" max="4" width="12.09765625" customWidth="1"/>
    <col min="5" max="5" width="12.59765625" customWidth="1"/>
    <col min="6" max="6" width="13" bestFit="1" customWidth="1"/>
    <col min="8" max="8" width="11.69921875" customWidth="1"/>
    <col min="9" max="9" width="14.19921875" bestFit="1" customWidth="1"/>
    <col min="10" max="12" width="11.19921875" bestFit="1" customWidth="1"/>
  </cols>
  <sheetData>
    <row r="2" spans="1:14" x14ac:dyDescent="0.3">
      <c r="A2" s="22"/>
      <c r="B2" s="23"/>
      <c r="C2" s="23"/>
      <c r="D2" s="23"/>
      <c r="E2" s="23"/>
      <c r="F2" s="23"/>
      <c r="G2" s="22"/>
      <c r="H2" s="22"/>
      <c r="I2" s="22" t="s">
        <v>140</v>
      </c>
      <c r="J2" s="22"/>
      <c r="K2" s="22"/>
      <c r="L2" s="22"/>
      <c r="M2" s="22"/>
      <c r="N2" s="22"/>
    </row>
    <row r="3" spans="1:14" x14ac:dyDescent="0.3">
      <c r="A3" s="22"/>
      <c r="B3" s="24" t="s">
        <v>136</v>
      </c>
      <c r="C3" s="24" t="s">
        <v>133</v>
      </c>
      <c r="D3" s="24" t="s">
        <v>134</v>
      </c>
      <c r="E3" s="24" t="s">
        <v>135</v>
      </c>
      <c r="F3" s="24" t="s">
        <v>9</v>
      </c>
      <c r="G3" s="22"/>
      <c r="H3" s="30" t="s">
        <v>10</v>
      </c>
      <c r="I3" s="30" t="s">
        <v>133</v>
      </c>
      <c r="J3" s="30" t="s">
        <v>134</v>
      </c>
      <c r="K3" s="30" t="s">
        <v>135</v>
      </c>
      <c r="L3" s="22"/>
      <c r="M3" s="22"/>
      <c r="N3" s="22"/>
    </row>
    <row r="4" spans="1:14" x14ac:dyDescent="0.3">
      <c r="A4" s="22"/>
      <c r="B4" s="25" t="s">
        <v>1</v>
      </c>
      <c r="C4" s="26">
        <v>0</v>
      </c>
      <c r="D4" s="27">
        <v>10000</v>
      </c>
      <c r="E4" s="27">
        <v>60000</v>
      </c>
      <c r="F4" s="27">
        <f>SUM(C4:E4)</f>
        <v>70000</v>
      </c>
      <c r="G4" s="22"/>
      <c r="H4" s="28" t="s">
        <v>1</v>
      </c>
      <c r="I4" s="29">
        <f>IF(C4&gt;0,1,0)</f>
        <v>0</v>
      </c>
      <c r="J4" s="29">
        <f t="shared" ref="J4:K9" si="0">IF(D4&gt;0,1,0)</f>
        <v>1</v>
      </c>
      <c r="K4" s="29">
        <f t="shared" si="0"/>
        <v>1</v>
      </c>
      <c r="L4" s="22"/>
      <c r="M4" s="22"/>
      <c r="N4" s="22"/>
    </row>
    <row r="5" spans="1:14" x14ac:dyDescent="0.3">
      <c r="A5" s="22"/>
      <c r="B5" s="25" t="s">
        <v>2</v>
      </c>
      <c r="C5" s="27">
        <v>4000</v>
      </c>
      <c r="D5" s="26">
        <v>0</v>
      </c>
      <c r="E5" s="27">
        <f>15000+11000</f>
        <v>26000</v>
      </c>
      <c r="F5" s="27">
        <f t="shared" ref="F5" si="1">SUM(C5:E5)</f>
        <v>30000</v>
      </c>
      <c r="G5" s="22"/>
      <c r="H5" s="28" t="s">
        <v>2</v>
      </c>
      <c r="I5" s="29">
        <f t="shared" ref="I5:I9" si="2">IF(C5&gt;0,1,0)</f>
        <v>1</v>
      </c>
      <c r="J5" s="29">
        <f t="shared" si="0"/>
        <v>0</v>
      </c>
      <c r="K5" s="29">
        <f t="shared" si="0"/>
        <v>1</v>
      </c>
      <c r="L5" s="22"/>
      <c r="M5" s="22"/>
      <c r="N5" s="22"/>
    </row>
    <row r="6" spans="1:14" x14ac:dyDescent="0.3">
      <c r="A6" s="22"/>
      <c r="B6" s="25" t="s">
        <v>3</v>
      </c>
      <c r="C6" s="27">
        <v>7000</v>
      </c>
      <c r="D6" s="27">
        <v>15000</v>
      </c>
      <c r="E6" s="27">
        <v>19000</v>
      </c>
      <c r="F6" s="27">
        <f>SUM(C6:E6)</f>
        <v>41000</v>
      </c>
      <c r="G6" s="22"/>
      <c r="H6" s="28" t="s">
        <v>3</v>
      </c>
      <c r="I6" s="29">
        <f t="shared" si="2"/>
        <v>1</v>
      </c>
      <c r="J6" s="29">
        <f t="shared" si="0"/>
        <v>1</v>
      </c>
      <c r="K6" s="29">
        <f t="shared" si="0"/>
        <v>1</v>
      </c>
      <c r="L6" s="22"/>
      <c r="M6" s="22"/>
      <c r="N6" s="22"/>
    </row>
    <row r="7" spans="1:14" x14ac:dyDescent="0.3">
      <c r="A7" s="22"/>
      <c r="B7" s="25" t="s">
        <v>5</v>
      </c>
      <c r="C7" s="27">
        <v>7000</v>
      </c>
      <c r="D7" s="27">
        <v>15000</v>
      </c>
      <c r="E7" s="27">
        <v>30000</v>
      </c>
      <c r="F7" s="27">
        <f>SUM(C7:E7)</f>
        <v>52000</v>
      </c>
      <c r="G7" s="22"/>
      <c r="H7" s="28" t="s">
        <v>5</v>
      </c>
      <c r="I7" s="29">
        <f t="shared" si="2"/>
        <v>1</v>
      </c>
      <c r="J7" s="29">
        <f t="shared" si="0"/>
        <v>1</v>
      </c>
      <c r="K7" s="29">
        <f t="shared" si="0"/>
        <v>1</v>
      </c>
      <c r="L7" s="22"/>
      <c r="M7" s="22"/>
      <c r="N7" s="22"/>
    </row>
    <row r="8" spans="1:14" x14ac:dyDescent="0.3">
      <c r="A8" s="22"/>
      <c r="B8" s="25" t="s">
        <v>6</v>
      </c>
      <c r="C8" s="27">
        <v>6000</v>
      </c>
      <c r="D8" s="27">
        <v>15000</v>
      </c>
      <c r="E8" s="27">
        <v>25000</v>
      </c>
      <c r="F8" s="27">
        <f>SUM(C8:E8)</f>
        <v>46000</v>
      </c>
      <c r="G8" s="22"/>
      <c r="H8" s="28" t="s">
        <v>6</v>
      </c>
      <c r="I8" s="29">
        <f t="shared" si="2"/>
        <v>1</v>
      </c>
      <c r="J8" s="29">
        <f t="shared" si="0"/>
        <v>1</v>
      </c>
      <c r="K8" s="29">
        <f t="shared" si="0"/>
        <v>1</v>
      </c>
      <c r="L8" s="22"/>
      <c r="M8" s="22"/>
      <c r="N8" s="22"/>
    </row>
    <row r="9" spans="1:14" x14ac:dyDescent="0.3">
      <c r="A9" s="22"/>
      <c r="B9" s="25" t="s">
        <v>4</v>
      </c>
      <c r="C9" s="26">
        <v>0</v>
      </c>
      <c r="D9" s="27">
        <v>15000</v>
      </c>
      <c r="E9" s="27">
        <v>30000</v>
      </c>
      <c r="F9" s="27">
        <f>SUM(C9:E9)</f>
        <v>45000</v>
      </c>
      <c r="G9" s="22"/>
      <c r="H9" s="28" t="s">
        <v>4</v>
      </c>
      <c r="I9" s="29">
        <f t="shared" si="2"/>
        <v>0</v>
      </c>
      <c r="J9" s="29">
        <f t="shared" si="0"/>
        <v>1</v>
      </c>
      <c r="K9" s="29">
        <f t="shared" si="0"/>
        <v>1</v>
      </c>
      <c r="L9" s="22"/>
      <c r="M9" s="22"/>
      <c r="N9" s="22"/>
    </row>
    <row r="10" spans="1:14" x14ac:dyDescent="0.3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</row>
    <row r="11" spans="1:14" x14ac:dyDescent="0.3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</row>
    <row r="12" spans="1:14" x14ac:dyDescent="0.3">
      <c r="A12" s="22"/>
      <c r="B12" s="22"/>
      <c r="C12" s="22"/>
      <c r="D12" s="22"/>
      <c r="E12" s="22"/>
      <c r="F12" s="22"/>
      <c r="G12" s="22"/>
      <c r="H12" s="34"/>
      <c r="I12" s="34"/>
      <c r="J12" s="34"/>
      <c r="K12" s="34"/>
      <c r="L12" s="34"/>
      <c r="M12" s="22"/>
      <c r="N12" s="22"/>
    </row>
    <row r="13" spans="1:14" x14ac:dyDescent="0.3">
      <c r="A13" s="22"/>
      <c r="B13" s="31" t="s">
        <v>137</v>
      </c>
      <c r="C13" s="31" t="s">
        <v>133</v>
      </c>
      <c r="D13" s="31" t="s">
        <v>134</v>
      </c>
      <c r="E13" s="31" t="s">
        <v>135</v>
      </c>
      <c r="F13" s="22"/>
      <c r="G13" s="22"/>
      <c r="H13" s="43"/>
      <c r="I13" s="43"/>
      <c r="J13" s="43"/>
      <c r="K13" s="43"/>
      <c r="L13" s="43"/>
      <c r="M13" s="22"/>
      <c r="N13" s="22"/>
    </row>
    <row r="14" spans="1:14" x14ac:dyDescent="0.3">
      <c r="A14" s="22"/>
      <c r="B14" s="32" t="s">
        <v>1</v>
      </c>
      <c r="C14" s="3">
        <v>0</v>
      </c>
      <c r="D14" s="33">
        <v>500</v>
      </c>
      <c r="E14" s="33">
        <v>426.66666666666669</v>
      </c>
      <c r="F14" s="22"/>
      <c r="G14" s="22"/>
      <c r="H14" s="22"/>
      <c r="I14" s="44"/>
      <c r="J14" s="44"/>
      <c r="K14" s="44"/>
      <c r="L14" s="44"/>
      <c r="M14" s="22"/>
      <c r="N14" s="22"/>
    </row>
    <row r="15" spans="1:14" x14ac:dyDescent="0.3">
      <c r="A15" s="22"/>
      <c r="B15" s="32" t="s">
        <v>2</v>
      </c>
      <c r="C15" s="33">
        <v>2500</v>
      </c>
      <c r="D15" s="3">
        <v>0</v>
      </c>
      <c r="E15" s="33">
        <v>300</v>
      </c>
      <c r="F15" s="22"/>
      <c r="G15" s="22"/>
      <c r="H15" s="22"/>
      <c r="I15" s="44"/>
      <c r="J15" s="44"/>
      <c r="K15" s="44"/>
      <c r="L15" s="44"/>
      <c r="M15" s="22"/>
      <c r="N15" s="22"/>
    </row>
    <row r="16" spans="1:14" x14ac:dyDescent="0.3">
      <c r="A16" s="22"/>
      <c r="B16" s="32" t="s">
        <v>3</v>
      </c>
      <c r="C16" s="33">
        <v>1000</v>
      </c>
      <c r="D16" s="33">
        <v>500</v>
      </c>
      <c r="E16" s="33">
        <v>300</v>
      </c>
      <c r="F16" s="22"/>
      <c r="G16" s="22"/>
      <c r="H16" s="22"/>
      <c r="I16" s="44"/>
      <c r="J16" s="44"/>
      <c r="K16" s="44"/>
      <c r="L16" s="44"/>
      <c r="M16" s="22"/>
      <c r="N16" s="22"/>
    </row>
    <row r="17" spans="1:14" x14ac:dyDescent="0.3">
      <c r="A17" s="22"/>
      <c r="B17" s="32" t="s">
        <v>5</v>
      </c>
      <c r="C17" s="33">
        <v>1000</v>
      </c>
      <c r="D17" s="33">
        <v>500</v>
      </c>
      <c r="E17" s="33">
        <v>300</v>
      </c>
      <c r="F17" s="22"/>
      <c r="G17" s="22"/>
      <c r="H17" s="22"/>
      <c r="I17" s="44"/>
      <c r="J17" s="44"/>
      <c r="K17" s="44"/>
      <c r="L17" s="44"/>
      <c r="M17" s="22"/>
      <c r="N17" s="22"/>
    </row>
    <row r="18" spans="1:14" x14ac:dyDescent="0.3">
      <c r="A18" s="22"/>
      <c r="B18" s="32" t="s">
        <v>6</v>
      </c>
      <c r="C18" s="33">
        <v>1000</v>
      </c>
      <c r="D18" s="33">
        <v>500</v>
      </c>
      <c r="E18" s="33">
        <v>300</v>
      </c>
      <c r="F18" s="22"/>
      <c r="G18" s="22"/>
      <c r="H18" s="22"/>
      <c r="I18" s="44"/>
      <c r="J18" s="44"/>
      <c r="K18" s="44"/>
      <c r="L18" s="44"/>
      <c r="M18" s="22"/>
      <c r="N18" s="22"/>
    </row>
    <row r="19" spans="1:14" x14ac:dyDescent="0.3">
      <c r="A19" s="22"/>
      <c r="B19" s="32" t="s">
        <v>4</v>
      </c>
      <c r="C19" s="3">
        <v>0</v>
      </c>
      <c r="D19" s="33">
        <v>500</v>
      </c>
      <c r="E19" s="33">
        <v>300</v>
      </c>
      <c r="F19" s="22"/>
      <c r="G19" s="22"/>
      <c r="H19" s="22"/>
      <c r="I19" s="44"/>
      <c r="J19" s="44"/>
      <c r="K19" s="44"/>
      <c r="L19" s="44"/>
      <c r="M19" s="22"/>
      <c r="N19" s="22"/>
    </row>
    <row r="20" spans="1:14" x14ac:dyDescent="0.3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</row>
    <row r="21" spans="1:14" x14ac:dyDescent="0.3">
      <c r="A21" s="22"/>
      <c r="K21" s="22"/>
      <c r="L21" s="22"/>
      <c r="M21" s="22"/>
      <c r="N21" s="22"/>
    </row>
    <row r="22" spans="1:14" x14ac:dyDescent="0.3">
      <c r="A22" s="22"/>
      <c r="K22" s="22"/>
      <c r="L22" s="22"/>
      <c r="M22" s="22"/>
      <c r="N22" s="22"/>
    </row>
    <row r="23" spans="1:14" x14ac:dyDescent="0.3">
      <c r="A23" s="23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</row>
    <row r="24" spans="1:14" x14ac:dyDescent="0.3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</row>
    <row r="25" spans="1:14" x14ac:dyDescent="0.3">
      <c r="A25" s="22"/>
      <c r="B25" s="31" t="s">
        <v>144</v>
      </c>
      <c r="C25" s="31" t="s">
        <v>133</v>
      </c>
      <c r="D25" s="31" t="s">
        <v>134</v>
      </c>
      <c r="E25" s="31" t="s">
        <v>135</v>
      </c>
      <c r="F25" s="31" t="s">
        <v>9</v>
      </c>
      <c r="G25" s="22"/>
      <c r="H25" s="41" t="s">
        <v>139</v>
      </c>
      <c r="I25" s="38"/>
      <c r="J25" s="22"/>
      <c r="K25" s="22"/>
      <c r="L25" s="22"/>
      <c r="M25" s="22"/>
      <c r="N25" s="22"/>
    </row>
    <row r="26" spans="1:14" x14ac:dyDescent="0.3">
      <c r="A26" s="22"/>
      <c r="B26" s="32" t="s">
        <v>1</v>
      </c>
      <c r="C26" s="3">
        <f t="shared" ref="C26:E31" si="3">C4*C14</f>
        <v>0</v>
      </c>
      <c r="D26" s="3">
        <f t="shared" si="3"/>
        <v>5000000</v>
      </c>
      <c r="E26" s="3">
        <f t="shared" si="3"/>
        <v>25600000</v>
      </c>
      <c r="F26" s="3">
        <f t="shared" ref="F26:F31" si="4">SUM(C26:E26)</f>
        <v>30600000</v>
      </c>
      <c r="G26" s="22"/>
      <c r="H26" s="39" t="s">
        <v>1</v>
      </c>
      <c r="I26" s="39">
        <v>800000</v>
      </c>
      <c r="J26" s="22"/>
      <c r="K26" s="22"/>
      <c r="L26" s="22"/>
      <c r="M26" s="22"/>
      <c r="N26" s="22"/>
    </row>
    <row r="27" spans="1:14" x14ac:dyDescent="0.3">
      <c r="A27" s="22"/>
      <c r="B27" s="32" t="s">
        <v>2</v>
      </c>
      <c r="C27" s="3">
        <f t="shared" si="3"/>
        <v>10000000</v>
      </c>
      <c r="D27" s="3">
        <f t="shared" si="3"/>
        <v>0</v>
      </c>
      <c r="E27" s="3">
        <f t="shared" si="3"/>
        <v>7800000</v>
      </c>
      <c r="F27" s="3">
        <f t="shared" si="4"/>
        <v>17800000</v>
      </c>
      <c r="G27" s="22"/>
      <c r="H27" s="39" t="s">
        <v>2</v>
      </c>
      <c r="I27" s="39">
        <v>1200000</v>
      </c>
      <c r="J27" s="22"/>
      <c r="K27" s="22"/>
      <c r="L27" s="22"/>
      <c r="M27" s="22"/>
      <c r="N27" s="22"/>
    </row>
    <row r="28" spans="1:14" x14ac:dyDescent="0.3">
      <c r="A28" s="22"/>
      <c r="B28" s="32" t="s">
        <v>3</v>
      </c>
      <c r="C28" s="3">
        <f t="shared" si="3"/>
        <v>7000000</v>
      </c>
      <c r="D28" s="3">
        <f t="shared" si="3"/>
        <v>7500000</v>
      </c>
      <c r="E28" s="3">
        <f t="shared" si="3"/>
        <v>5700000</v>
      </c>
      <c r="F28" s="3">
        <f t="shared" si="4"/>
        <v>20200000</v>
      </c>
      <c r="G28" s="22"/>
      <c r="H28" s="39" t="s">
        <v>3</v>
      </c>
      <c r="I28" s="39">
        <v>1600000</v>
      </c>
      <c r="J28" s="22"/>
      <c r="K28" s="22"/>
      <c r="L28" s="22"/>
      <c r="M28" s="22"/>
      <c r="N28" s="22"/>
    </row>
    <row r="29" spans="1:14" x14ac:dyDescent="0.3">
      <c r="A29" s="22"/>
      <c r="B29" s="32" t="s">
        <v>5</v>
      </c>
      <c r="C29" s="3">
        <f t="shared" si="3"/>
        <v>7000000</v>
      </c>
      <c r="D29" s="3">
        <f t="shared" si="3"/>
        <v>7500000</v>
      </c>
      <c r="E29" s="3">
        <f t="shared" si="3"/>
        <v>9000000</v>
      </c>
      <c r="F29" s="3">
        <f t="shared" si="4"/>
        <v>23500000</v>
      </c>
      <c r="G29" s="22"/>
      <c r="H29" s="39" t="s">
        <v>5</v>
      </c>
      <c r="I29" s="39">
        <v>8000000</v>
      </c>
      <c r="J29" s="22"/>
      <c r="K29" s="22"/>
      <c r="L29" s="22"/>
      <c r="M29" s="22"/>
      <c r="N29" s="22"/>
    </row>
    <row r="30" spans="1:14" x14ac:dyDescent="0.3">
      <c r="A30" s="22"/>
      <c r="B30" s="32" t="s">
        <v>6</v>
      </c>
      <c r="C30" s="3">
        <f t="shared" si="3"/>
        <v>6000000</v>
      </c>
      <c r="D30" s="3">
        <f t="shared" si="3"/>
        <v>7500000</v>
      </c>
      <c r="E30" s="3">
        <f t="shared" si="3"/>
        <v>7500000</v>
      </c>
      <c r="F30" s="3">
        <f t="shared" si="4"/>
        <v>21000000</v>
      </c>
      <c r="G30" s="22"/>
      <c r="H30" s="39" t="s">
        <v>6</v>
      </c>
      <c r="I30" s="39">
        <v>5000000</v>
      </c>
      <c r="J30" s="22"/>
      <c r="K30" s="22"/>
      <c r="L30" s="22"/>
      <c r="M30" s="22"/>
      <c r="N30" s="22"/>
    </row>
    <row r="31" spans="1:14" x14ac:dyDescent="0.3">
      <c r="A31" s="22"/>
      <c r="B31" s="32" t="s">
        <v>4</v>
      </c>
      <c r="C31" s="3">
        <f t="shared" si="3"/>
        <v>0</v>
      </c>
      <c r="D31" s="3">
        <f t="shared" si="3"/>
        <v>7500000</v>
      </c>
      <c r="E31" s="3">
        <f t="shared" si="3"/>
        <v>9000000</v>
      </c>
      <c r="F31" s="3">
        <f t="shared" si="4"/>
        <v>16500000</v>
      </c>
      <c r="G31" s="22"/>
      <c r="H31" s="39" t="s">
        <v>4</v>
      </c>
      <c r="I31" s="39">
        <v>3000000</v>
      </c>
      <c r="J31" s="22"/>
      <c r="K31" s="22"/>
      <c r="L31" s="22"/>
      <c r="M31" s="22"/>
      <c r="N31" s="22"/>
    </row>
    <row r="32" spans="1:14" x14ac:dyDescent="0.3">
      <c r="A32" s="22"/>
      <c r="B32" s="32" t="s">
        <v>9</v>
      </c>
      <c r="C32" s="3">
        <f>SUM(C26:C31)</f>
        <v>30000000</v>
      </c>
      <c r="D32" s="3">
        <f>SUM(D26:D31)</f>
        <v>35000000</v>
      </c>
      <c r="E32" s="3">
        <f>SUM(E26:E31)</f>
        <v>64600000</v>
      </c>
      <c r="F32" s="33">
        <f>SUM(F26:F31)</f>
        <v>129600000</v>
      </c>
      <c r="G32" s="22"/>
      <c r="H32" s="38" t="s">
        <v>142</v>
      </c>
      <c r="I32" s="38">
        <f>SUM(I26:I31)</f>
        <v>19600000</v>
      </c>
      <c r="J32" s="22"/>
      <c r="K32" s="22"/>
      <c r="L32" s="22"/>
      <c r="M32" s="22"/>
      <c r="N32" s="22"/>
    </row>
    <row r="33" spans="1:14" x14ac:dyDescent="0.3">
      <c r="A33" s="22"/>
      <c r="G33" s="22"/>
      <c r="H33" s="22"/>
      <c r="I33" s="22"/>
      <c r="J33" s="22"/>
      <c r="K33" s="22"/>
      <c r="L33" s="22"/>
      <c r="M33" s="22"/>
      <c r="N33" s="22"/>
    </row>
    <row r="34" spans="1:14" x14ac:dyDescent="0.3">
      <c r="H34" s="40" t="s">
        <v>143</v>
      </c>
      <c r="I34" s="40">
        <v>110000000</v>
      </c>
      <c r="J34" s="22"/>
    </row>
    <row r="35" spans="1:14" x14ac:dyDescent="0.3">
      <c r="H35" s="22"/>
      <c r="I35" s="22"/>
      <c r="J35" s="22"/>
    </row>
    <row r="36" spans="1:14" x14ac:dyDescent="0.3">
      <c r="B36" s="37" t="s">
        <v>138</v>
      </c>
      <c r="C36" s="37" t="s">
        <v>133</v>
      </c>
      <c r="D36" s="37" t="s">
        <v>134</v>
      </c>
      <c r="E36" s="37" t="s">
        <v>135</v>
      </c>
      <c r="F36" s="37" t="s">
        <v>9</v>
      </c>
      <c r="G36" s="22"/>
    </row>
    <row r="37" spans="1:14" x14ac:dyDescent="0.3">
      <c r="B37" s="35" t="s">
        <v>1</v>
      </c>
      <c r="C37" s="36">
        <f>C26-(C4/F4*$I$26)</f>
        <v>0</v>
      </c>
      <c r="D37" s="36">
        <f>D26-(D4/F4*$I$26)</f>
        <v>4885714.2857142854</v>
      </c>
      <c r="E37" s="36">
        <f>E26-(E4/F4*$I$26)</f>
        <v>24914285.714285713</v>
      </c>
      <c r="F37" s="36">
        <f>SUM(C37:E37)</f>
        <v>29800000</v>
      </c>
      <c r="G37" s="22"/>
    </row>
    <row r="38" spans="1:14" x14ac:dyDescent="0.3">
      <c r="B38" s="35" t="s">
        <v>2</v>
      </c>
      <c r="C38" s="36">
        <f>C27-(C5/F5*$I$27)</f>
        <v>9840000</v>
      </c>
      <c r="D38" s="36">
        <f>D27-(D5/F5*$I$27)</f>
        <v>0</v>
      </c>
      <c r="E38" s="36">
        <f>E27-(E5/F5*$I$27)</f>
        <v>6760000</v>
      </c>
      <c r="F38" s="36">
        <f t="shared" ref="F38:F42" si="5">SUM(C38:E38)</f>
        <v>16600000</v>
      </c>
    </row>
    <row r="39" spans="1:14" x14ac:dyDescent="0.3">
      <c r="B39" s="35" t="s">
        <v>3</v>
      </c>
      <c r="C39" s="36">
        <f>C28-(C6/F6*$I$28)</f>
        <v>6726829.2682926832</v>
      </c>
      <c r="D39" s="36">
        <f>D28-(D6/F6*$I$28)</f>
        <v>6914634.1463414636</v>
      </c>
      <c r="E39" s="36">
        <f>E28-(E6/F6*$I$28)</f>
        <v>4958536.5853658533</v>
      </c>
      <c r="F39" s="36">
        <f>SUM(C39:E39)</f>
        <v>18600000</v>
      </c>
    </row>
    <row r="40" spans="1:14" x14ac:dyDescent="0.3">
      <c r="B40" s="35" t="s">
        <v>5</v>
      </c>
      <c r="C40" s="36">
        <f>C29-(C7/F7*$I$29)</f>
        <v>5923076.923076923</v>
      </c>
      <c r="D40" s="36">
        <f>D29-(D7/F7*$I$29)</f>
        <v>5192307.692307692</v>
      </c>
      <c r="E40" s="36">
        <f>E29-(E7/F7*$I$29)</f>
        <v>4384615.384615385</v>
      </c>
      <c r="F40" s="36">
        <f>SUM(C40:E40)</f>
        <v>15500000</v>
      </c>
    </row>
    <row r="41" spans="1:14" x14ac:dyDescent="0.3">
      <c r="B41" s="35" t="s">
        <v>6</v>
      </c>
      <c r="C41" s="36">
        <f>C30-(C8/F8*$I$30)</f>
        <v>5347826.0869565215</v>
      </c>
      <c r="D41" s="36">
        <f>D30-(D8/F8*$I$30)</f>
        <v>5869565.2173913047</v>
      </c>
      <c r="E41" s="36">
        <f>E30-(E8/F8*$I$30)</f>
        <v>4782608.6956521738</v>
      </c>
      <c r="F41" s="36">
        <f>SUM(C41:E41)</f>
        <v>16000000</v>
      </c>
    </row>
    <row r="42" spans="1:14" x14ac:dyDescent="0.3">
      <c r="B42" s="35" t="s">
        <v>4</v>
      </c>
      <c r="C42" s="36">
        <f>C31-(C9/F9*$I$26)</f>
        <v>0</v>
      </c>
      <c r="D42" s="36">
        <f>D31-(D9/F9*$I$31)</f>
        <v>6500000</v>
      </c>
      <c r="E42" s="36">
        <f>E31-(E9/F9*$I$31)</f>
        <v>7000000</v>
      </c>
      <c r="F42" s="36">
        <f t="shared" si="5"/>
        <v>13500000</v>
      </c>
    </row>
    <row r="43" spans="1:14" x14ac:dyDescent="0.3">
      <c r="B43" s="37" t="s">
        <v>141</v>
      </c>
      <c r="C43" s="42">
        <f>SUM(C37:C42)</f>
        <v>27837732.278326131</v>
      </c>
      <c r="D43" s="42">
        <f>SUM(D37:D42)</f>
        <v>29362221.341754746</v>
      </c>
      <c r="E43" s="42">
        <f>SUM(E37:E42)</f>
        <v>52800046.379919119</v>
      </c>
      <c r="F43" s="37">
        <f>SUM(F37:F42)</f>
        <v>110000000</v>
      </c>
    </row>
    <row r="47" spans="1:14" x14ac:dyDescent="0.3">
      <c r="B47" s="22"/>
      <c r="C47" s="22"/>
      <c r="D47" s="22"/>
      <c r="E47" s="22"/>
      <c r="F47" s="2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C408F-BAFF-4256-B21A-F67DB4559C7D}">
  <dimension ref="A1"/>
  <sheetViews>
    <sheetView workbookViewId="0"/>
  </sheetViews>
  <sheetFormatPr baseColWidth="10" defaultColWidth="8.796875"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7</vt:i4>
      </vt:variant>
    </vt:vector>
  </HeadingPairs>
  <TitlesOfParts>
    <vt:vector size="7" baseType="lpstr">
      <vt:lpstr>Følsomhetsrapport 1</vt:lpstr>
      <vt:lpstr>Reiserute</vt:lpstr>
      <vt:lpstr>Følsomhetsrapport 2</vt:lpstr>
      <vt:lpstr>Billettpris</vt:lpstr>
      <vt:lpstr>Sensitivity Report 3</vt:lpstr>
      <vt:lpstr>Billettpris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Celina Rocha Husebø</dc:creator>
  <cp:lastModifiedBy>andrea westgaard</cp:lastModifiedBy>
  <dcterms:created xsi:type="dcterms:W3CDTF">2024-02-28T16:57:16Z</dcterms:created>
  <dcterms:modified xsi:type="dcterms:W3CDTF">2026-08-09T20:17:06Z</dcterms:modified>
</cp:coreProperties>
</file>