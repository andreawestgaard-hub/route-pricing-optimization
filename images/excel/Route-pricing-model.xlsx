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wes\Downloads\"/>
    </mc:Choice>
  </mc:AlternateContent>
  <xr:revisionPtr revIDLastSave="0" documentId="8_{C8C23312-972F-471A-82B2-FD16F9701FE0}" xr6:coauthVersionLast="47" xr6:coauthVersionMax="47" xr10:uidLastSave="{00000000-0000-0000-0000-000000000000}"/>
  <bookViews>
    <workbookView xWindow="-108" yWindow="-108" windowWidth="23256" windowHeight="13176" xr2:uid="{97E72444-C8A8-9147-9AAF-EAFD39D88035}"/>
  </bookViews>
  <sheets>
    <sheet name="Data" sheetId="1" r:id="rId1"/>
    <sheet name="Simulation" sheetId="4" r:id="rId2"/>
    <sheet name="Data simulation " sheetId="7" r:id="rId3"/>
    <sheet name="Decision theory" sheetId="6" r:id="rId4"/>
  </sheets>
  <definedNames>
    <definedName name="max_growth">#REF!</definedName>
    <definedName name="min_growth">#REF!</definedName>
    <definedName name="solver_adj" localSheetId="3" hidden="1">'Decision theory'!$K$9</definedName>
    <definedName name="solver_cvg" localSheetId="3" hidden="1">0.0001</definedName>
    <definedName name="solver_drv" localSheetId="3" hidden="1">1</definedName>
    <definedName name="solver_eng" localSheetId="3" hidden="1">2</definedName>
    <definedName name="solver_itr" localSheetId="3" hidden="1">2147483647</definedName>
    <definedName name="solver_lhs1" localSheetId="3" hidden="1">'Decision theory'!$K$9</definedName>
    <definedName name="solver_lin" localSheetId="3" hidden="1">1</definedName>
    <definedName name="solver_mip" localSheetId="3" hidden="1">2147483647</definedName>
    <definedName name="solver_mni" localSheetId="3" hidden="1">1</definedName>
    <definedName name="solver_mrt" localSheetId="3" hidden="1">0.0001</definedName>
    <definedName name="solver_msl" localSheetId="3" hidden="1">1</definedName>
    <definedName name="solver_neg" localSheetId="3" hidden="1">1</definedName>
    <definedName name="solver_nod" localSheetId="3" hidden="1">2147483647</definedName>
    <definedName name="solver_num" localSheetId="3" hidden="1">0</definedName>
    <definedName name="solver_opt" localSheetId="3" hidden="1">'Decision theory'!$K$14</definedName>
    <definedName name="solver_pre" localSheetId="3" hidden="1">0.000001</definedName>
    <definedName name="solver_rbv" localSheetId="3" hidden="1">1</definedName>
    <definedName name="solver_rel1" localSheetId="3" hidden="1">1</definedName>
    <definedName name="solver_rhs1" localSheetId="3" hidden="1">1</definedName>
    <definedName name="solver_rlx" localSheetId="3" hidden="1">2</definedName>
    <definedName name="solver_rsd" localSheetId="3" hidden="1">0</definedName>
    <definedName name="solver_scl" localSheetId="3" hidden="1">1</definedName>
    <definedName name="solver_sho" localSheetId="3" hidden="1">2</definedName>
    <definedName name="solver_ssz" localSheetId="3" hidden="1">100</definedName>
    <definedName name="solver_tim" localSheetId="3" hidden="1">2147483647</definedName>
    <definedName name="solver_tol" localSheetId="3" hidden="1">0.01</definedName>
    <definedName name="solver_typ" localSheetId="3" hidden="1">3</definedName>
    <definedName name="solver_val" localSheetId="3" hidden="1">0</definedName>
    <definedName name="solver_ver" localSheetId="3" hidden="1">2</definedName>
  </definedNames>
  <calcPr calcId="191029" calcMode="autoNoTable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4" i="6" l="1"/>
  <c r="E24" i="6"/>
  <c r="K4" i="4"/>
  <c r="F22" i="4"/>
  <c r="F12" i="4"/>
  <c r="D4" i="4" s="1"/>
  <c r="F6" i="6"/>
  <c r="F4" i="6"/>
  <c r="K7" i="6" s="1"/>
  <c r="E27" i="7"/>
  <c r="K3" i="4"/>
  <c r="K2" i="4"/>
  <c r="I15" i="4"/>
  <c r="D3" i="4"/>
  <c r="D2" i="4"/>
  <c r="B2" i="4"/>
  <c r="D23" i="7" s="1"/>
  <c r="D21" i="7"/>
  <c r="E24" i="4"/>
  <c r="F19" i="4"/>
  <c r="E19" i="4"/>
  <c r="E18" i="4"/>
  <c r="F5" i="6"/>
  <c r="K22" i="7"/>
  <c r="E22" i="7"/>
  <c r="A8" i="6"/>
  <c r="A7" i="6"/>
  <c r="B2" i="6"/>
  <c r="B9" i="6" s="1"/>
  <c r="B3" i="6"/>
  <c r="G14" i="6"/>
  <c r="H14" i="6" s="1"/>
  <c r="G15" i="6"/>
  <c r="H15" i="6" s="1"/>
  <c r="G16" i="6"/>
  <c r="H16" i="6" s="1"/>
  <c r="G17" i="6"/>
  <c r="H17" i="6" s="1"/>
  <c r="G18" i="6"/>
  <c r="H18" i="6" s="1"/>
  <c r="G19" i="6"/>
  <c r="H19" i="6" s="1"/>
  <c r="G20" i="6"/>
  <c r="H20" i="6" s="1"/>
  <c r="G21" i="6"/>
  <c r="H21" i="6" s="1"/>
  <c r="G22" i="6"/>
  <c r="H22" i="6" s="1"/>
  <c r="G13" i="6"/>
  <c r="H13" i="6" s="1"/>
  <c r="C14" i="6"/>
  <c r="C15" i="6"/>
  <c r="C16" i="6"/>
  <c r="C17" i="6"/>
  <c r="C18" i="6"/>
  <c r="C19" i="6"/>
  <c r="C20" i="6"/>
  <c r="C21" i="6"/>
  <c r="C22" i="6"/>
  <c r="C13" i="6"/>
  <c r="S7" i="6"/>
  <c r="S5" i="6"/>
  <c r="S6" i="6"/>
  <c r="S4" i="6"/>
  <c r="P11" i="6"/>
  <c r="B59" i="4" l="1"/>
  <c r="B62" i="4"/>
  <c r="B63" i="4"/>
  <c r="L4" i="6"/>
  <c r="L7" i="6"/>
  <c r="L6" i="6"/>
  <c r="K4" i="6"/>
  <c r="M4" i="6" s="1"/>
  <c r="B61" i="4"/>
  <c r="B13" i="4"/>
  <c r="B67" i="4"/>
  <c r="B6" i="6"/>
  <c r="K5" i="6" s="1"/>
  <c r="D25" i="7"/>
  <c r="K27" i="7"/>
  <c r="K21" i="7"/>
  <c r="J21" i="7"/>
  <c r="E21" i="7"/>
  <c r="B9" i="4"/>
  <c r="B10" i="4"/>
  <c r="B11" i="4"/>
  <c r="B12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B38" i="4"/>
  <c r="B39" i="4"/>
  <c r="B40" i="4"/>
  <c r="B41" i="4"/>
  <c r="B42" i="4"/>
  <c r="B43" i="4"/>
  <c r="B44" i="4"/>
  <c r="B45" i="4"/>
  <c r="B46" i="4"/>
  <c r="B47" i="4"/>
  <c r="B48" i="4"/>
  <c r="B49" i="4"/>
  <c r="B50" i="4"/>
  <c r="B51" i="4"/>
  <c r="B52" i="4"/>
  <c r="B53" i="4"/>
  <c r="B54" i="4"/>
  <c r="B55" i="4"/>
  <c r="B56" i="4"/>
  <c r="B57" i="4"/>
  <c r="B58" i="4"/>
  <c r="B60" i="4"/>
  <c r="B64" i="4"/>
  <c r="B65" i="4"/>
  <c r="B66" i="4"/>
  <c r="B68" i="4"/>
  <c r="P7" i="6"/>
  <c r="L5" i="6" l="1"/>
  <c r="U4" i="6" s="1"/>
  <c r="T7" i="6"/>
  <c r="B8" i="4"/>
  <c r="C8" i="4" s="1"/>
  <c r="O7" i="6"/>
  <c r="O6" i="6"/>
  <c r="P6" i="6"/>
  <c r="O5" i="6"/>
  <c r="N7" i="6"/>
  <c r="M7" i="6"/>
  <c r="M5" i="6"/>
  <c r="N4" i="6"/>
  <c r="N6" i="6"/>
  <c r="M6" i="6"/>
  <c r="B7" i="6"/>
  <c r="B8" i="6" s="1"/>
  <c r="N5" i="6" l="1"/>
  <c r="P5" i="6"/>
  <c r="U7" i="6"/>
  <c r="V7" i="6" s="1"/>
  <c r="Q7" i="6" s="1"/>
  <c r="U5" i="6"/>
  <c r="U6" i="6"/>
  <c r="O4" i="6"/>
  <c r="P4" i="6"/>
  <c r="T6" i="6"/>
  <c r="V6" i="6" s="1"/>
  <c r="Q6" i="6" s="1"/>
  <c r="T4" i="6"/>
  <c r="V4" i="6" s="1"/>
  <c r="Q4" i="6" s="1"/>
  <c r="T5" i="6"/>
  <c r="V5" i="6" l="1"/>
  <c r="Q5" i="6" s="1"/>
  <c r="I8" i="4"/>
  <c r="I9" i="4"/>
  <c r="I10" i="4"/>
  <c r="I11" i="4"/>
  <c r="I12" i="4"/>
  <c r="I13" i="4"/>
  <c r="I14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34" i="4"/>
  <c r="I35" i="4"/>
  <c r="I36" i="4"/>
  <c r="I37" i="4"/>
  <c r="I38" i="4"/>
  <c r="I39" i="4"/>
  <c r="I40" i="4"/>
  <c r="I41" i="4"/>
  <c r="I42" i="4"/>
  <c r="I43" i="4"/>
  <c r="I44" i="4"/>
  <c r="I45" i="4"/>
  <c r="I46" i="4"/>
  <c r="I47" i="4"/>
  <c r="I48" i="4"/>
  <c r="I49" i="4"/>
  <c r="I50" i="4"/>
  <c r="I51" i="4"/>
  <c r="I52" i="4"/>
  <c r="I53" i="4"/>
  <c r="I54" i="4"/>
  <c r="I55" i="4"/>
  <c r="I56" i="4"/>
  <c r="I57" i="4"/>
  <c r="I58" i="4"/>
  <c r="I59" i="4"/>
  <c r="I60" i="4"/>
  <c r="I61" i="4"/>
  <c r="I62" i="4"/>
  <c r="I63" i="4"/>
  <c r="I64" i="4"/>
  <c r="I65" i="4"/>
  <c r="I66" i="4"/>
  <c r="I67" i="4"/>
  <c r="I68" i="4"/>
  <c r="J3" i="4"/>
  <c r="J2" i="4"/>
  <c r="I2" i="4"/>
  <c r="J23" i="7" s="1"/>
  <c r="E30" i="1"/>
  <c r="F30" i="1" s="1"/>
  <c r="G30" i="1" s="1"/>
  <c r="E31" i="1"/>
  <c r="F31" i="1" s="1"/>
  <c r="G31" i="1" s="1"/>
  <c r="E32" i="1"/>
  <c r="F32" i="1" s="1"/>
  <c r="G32" i="1" s="1"/>
  <c r="E33" i="1"/>
  <c r="F33" i="1" s="1"/>
  <c r="G33" i="1" s="1"/>
  <c r="E34" i="1"/>
  <c r="F34" i="1" s="1"/>
  <c r="G34" i="1" s="1"/>
  <c r="E35" i="1"/>
  <c r="F35" i="1" s="1"/>
  <c r="G35" i="1" s="1"/>
  <c r="E36" i="1"/>
  <c r="F36" i="1" s="1"/>
  <c r="G36" i="1" s="1"/>
  <c r="E37" i="1"/>
  <c r="F37" i="1" s="1"/>
  <c r="G37" i="1" s="1"/>
  <c r="E38" i="1"/>
  <c r="F38" i="1" s="1"/>
  <c r="G38" i="1" s="1"/>
  <c r="E39" i="1"/>
  <c r="F39" i="1" s="1"/>
  <c r="G39" i="1" s="1"/>
  <c r="E40" i="1"/>
  <c r="F40" i="1" s="1"/>
  <c r="G40" i="1" s="1"/>
  <c r="E41" i="1"/>
  <c r="F41" i="1" s="1"/>
  <c r="G41" i="1" s="1"/>
  <c r="E42" i="1"/>
  <c r="F42" i="1" s="1"/>
  <c r="G42" i="1" s="1"/>
  <c r="E43" i="1"/>
  <c r="F43" i="1" s="1"/>
  <c r="G43" i="1" s="1"/>
  <c r="E44" i="1"/>
  <c r="F44" i="1" s="1"/>
  <c r="G44" i="1" s="1"/>
  <c r="E45" i="1"/>
  <c r="F45" i="1" s="1"/>
  <c r="G45" i="1" s="1"/>
  <c r="E46" i="1"/>
  <c r="F46" i="1" s="1"/>
  <c r="G46" i="1" s="1"/>
  <c r="E47" i="1"/>
  <c r="F47" i="1" s="1"/>
  <c r="G47" i="1" s="1"/>
  <c r="E48" i="1"/>
  <c r="F48" i="1" s="1"/>
  <c r="G48" i="1" s="1"/>
  <c r="E29" i="1"/>
  <c r="F29" i="1" s="1"/>
  <c r="G29" i="1" s="1"/>
  <c r="A30" i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J8" i="4" l="1"/>
  <c r="K23" i="7"/>
  <c r="K25" i="7" s="1"/>
  <c r="J25" i="7"/>
  <c r="E23" i="7" l="1"/>
  <c r="E25" i="7" s="1"/>
  <c r="C9" i="4"/>
  <c r="C10" i="4" s="1"/>
  <c r="C11" i="4" s="1"/>
  <c r="C12" i="4" s="1"/>
  <c r="C13" i="4" s="1"/>
  <c r="C14" i="4" s="1"/>
  <c r="C15" i="4" s="1"/>
  <c r="C16" i="4" s="1"/>
  <c r="C17" i="4" s="1"/>
  <c r="C18" i="4" s="1"/>
  <c r="C19" i="4" s="1"/>
  <c r="C20" i="4" s="1"/>
  <c r="C21" i="4" s="1"/>
  <c r="C22" i="4" s="1"/>
  <c r="C23" i="4" s="1"/>
  <c r="C24" i="4" s="1"/>
  <c r="C25" i="4" s="1"/>
  <c r="C26" i="4" s="1"/>
  <c r="C27" i="4" s="1"/>
  <c r="C28" i="4" s="1"/>
  <c r="C29" i="4" s="1"/>
  <c r="C30" i="4" s="1"/>
  <c r="C31" i="4" s="1"/>
  <c r="C32" i="4" s="1"/>
  <c r="C33" i="4" s="1"/>
  <c r="C34" i="4" s="1"/>
  <c r="C35" i="4" s="1"/>
  <c r="C36" i="4" s="1"/>
  <c r="C37" i="4" s="1"/>
  <c r="C38" i="4" s="1"/>
  <c r="C39" i="4" s="1"/>
  <c r="C40" i="4" s="1"/>
  <c r="C41" i="4" s="1"/>
  <c r="C42" i="4" s="1"/>
  <c r="C43" i="4" s="1"/>
  <c r="C44" i="4" s="1"/>
  <c r="C45" i="4" s="1"/>
  <c r="C46" i="4" s="1"/>
  <c r="C47" i="4" s="1"/>
  <c r="C48" i="4" s="1"/>
  <c r="C49" i="4" s="1"/>
  <c r="C50" i="4" s="1"/>
  <c r="C51" i="4" s="1"/>
  <c r="C52" i="4" s="1"/>
  <c r="C53" i="4" s="1"/>
  <c r="C54" i="4" s="1"/>
  <c r="C55" i="4" s="1"/>
  <c r="C56" i="4" s="1"/>
  <c r="C57" i="4" s="1"/>
  <c r="C58" i="4" s="1"/>
  <c r="C59" i="4" s="1"/>
  <c r="C60" i="4" s="1"/>
  <c r="C61" i="4" s="1"/>
  <c r="C62" i="4" s="1"/>
  <c r="C63" i="4" s="1"/>
  <c r="C64" i="4" s="1"/>
  <c r="C65" i="4" s="1"/>
  <c r="C66" i="4" s="1"/>
  <c r="C67" i="4" l="1"/>
  <c r="C68" i="4" s="1"/>
  <c r="B71" i="4" s="1"/>
  <c r="J9" i="4"/>
  <c r="J10" i="4" s="1"/>
  <c r="J11" i="4" s="1"/>
  <c r="J12" i="4" s="1"/>
  <c r="J13" i="4" s="1"/>
  <c r="J14" i="4" s="1"/>
  <c r="J15" i="4" s="1"/>
  <c r="J16" i="4" s="1"/>
  <c r="J17" i="4" s="1"/>
  <c r="J18" i="4" s="1"/>
  <c r="J19" i="4" s="1"/>
  <c r="J20" i="4" s="1"/>
  <c r="J21" i="4" s="1"/>
  <c r="J22" i="4" s="1"/>
  <c r="J23" i="4" s="1"/>
  <c r="J24" i="4" s="1"/>
  <c r="J25" i="4" s="1"/>
  <c r="J26" i="4" s="1"/>
  <c r="J27" i="4" s="1"/>
  <c r="J28" i="4" s="1"/>
  <c r="J29" i="4" s="1"/>
  <c r="J30" i="4" s="1"/>
  <c r="J31" i="4" s="1"/>
  <c r="J32" i="4" s="1"/>
  <c r="J33" i="4" s="1"/>
  <c r="J34" i="4" s="1"/>
  <c r="J35" i="4" s="1"/>
  <c r="J36" i="4" s="1"/>
  <c r="J37" i="4" s="1"/>
  <c r="J38" i="4" s="1"/>
  <c r="J39" i="4" s="1"/>
  <c r="J40" i="4" s="1"/>
  <c r="J41" i="4" s="1"/>
  <c r="J42" i="4" s="1"/>
  <c r="J43" i="4" s="1"/>
  <c r="J44" i="4" s="1"/>
  <c r="J45" i="4" s="1"/>
  <c r="J46" i="4" s="1"/>
  <c r="J47" i="4" s="1"/>
  <c r="J48" i="4" s="1"/>
  <c r="J49" i="4" s="1"/>
  <c r="J50" i="4" s="1"/>
  <c r="J51" i="4" s="1"/>
  <c r="J52" i="4" s="1"/>
  <c r="J53" i="4" s="1"/>
  <c r="J54" i="4" s="1"/>
  <c r="J55" i="4" s="1"/>
  <c r="J56" i="4" s="1"/>
  <c r="J57" i="4" s="1"/>
  <c r="J58" i="4" s="1"/>
  <c r="J59" i="4" s="1"/>
  <c r="J60" i="4" s="1"/>
  <c r="J61" i="4" s="1"/>
  <c r="J62" i="4" s="1"/>
  <c r="J63" i="4" s="1"/>
  <c r="J64" i="4" s="1"/>
  <c r="J65" i="4" s="1"/>
  <c r="J66" i="4" s="1"/>
  <c r="J67" i="4" s="1"/>
  <c r="J68" i="4" s="1"/>
  <c r="I71" i="4" l="1"/>
</calcChain>
</file>

<file path=xl/sharedStrings.xml><?xml version="1.0" encoding="utf-8"?>
<sst xmlns="http://schemas.openxmlformats.org/spreadsheetml/2006/main" count="313" uniqueCount="167">
  <si>
    <t>Apartmant Marina</t>
  </si>
  <si>
    <t>Price AED</t>
  </si>
  <si>
    <t>sq-feet</t>
  </si>
  <si>
    <t>Specifications</t>
  </si>
  <si>
    <t>Price per Sq</t>
  </si>
  <si>
    <t>Price per sq NOK</t>
  </si>
  <si>
    <t>Price NOK 60 Sq</t>
  </si>
  <si>
    <t>Price NOK 60 Sq Marina</t>
  </si>
  <si>
    <t xml:space="preserve"> AED    1 200 000,00</t>
  </si>
  <si>
    <t>1Bed, 1 Bath</t>
  </si>
  <si>
    <t xml:space="preserve"> AED      13 333,33</t>
  </si>
  <si>
    <t xml:space="preserve"> AED    3 800 000,00</t>
  </si>
  <si>
    <t>3Bed, 4Bath</t>
  </si>
  <si>
    <t xml:space="preserve"> AED      18 627,45</t>
  </si>
  <si>
    <t>Mean</t>
  </si>
  <si>
    <t xml:space="preserve"> AED    1 600 000,00</t>
  </si>
  <si>
    <t>2Bed, 2Baths</t>
  </si>
  <si>
    <t xml:space="preserve"> AED      14 814,81</t>
  </si>
  <si>
    <t>Standard Error</t>
  </si>
  <si>
    <t xml:space="preserve"> AED    1 999 990,00</t>
  </si>
  <si>
    <t>2Bed, 3Bath</t>
  </si>
  <si>
    <t xml:space="preserve"> AED      16 528,84</t>
  </si>
  <si>
    <t>Median</t>
  </si>
  <si>
    <t xml:space="preserve"> AED    2 043 195,00</t>
  </si>
  <si>
    <t xml:space="preserve"> AED      16 885,91</t>
  </si>
  <si>
    <t>Mode</t>
  </si>
  <si>
    <t>#N/A</t>
  </si>
  <si>
    <t xml:space="preserve"> AED    2 037 612,00</t>
  </si>
  <si>
    <t>2 Bed, 3 Bath</t>
  </si>
  <si>
    <t xml:space="preserve"> AED      16 839,77</t>
  </si>
  <si>
    <t>Standard Deviation</t>
  </si>
  <si>
    <t xml:space="preserve"> AED    2 420 000,00</t>
  </si>
  <si>
    <t xml:space="preserve"> AED      20 166,67</t>
  </si>
  <si>
    <t>Sample Variance</t>
  </si>
  <si>
    <t xml:space="preserve"> AED    1 283 000,00</t>
  </si>
  <si>
    <t xml:space="preserve"> AED      17 819,44</t>
  </si>
  <si>
    <t>Kurtosis</t>
  </si>
  <si>
    <t xml:space="preserve"> AED    2 280 000,00</t>
  </si>
  <si>
    <t xml:space="preserve"> AED        8 941,18</t>
  </si>
  <si>
    <t>Skewness</t>
  </si>
  <si>
    <t xml:space="preserve"> AED    1 799 999,00</t>
  </si>
  <si>
    <t>3Bed, 3Bath</t>
  </si>
  <si>
    <t xml:space="preserve"> AED      10 227,27</t>
  </si>
  <si>
    <t>Range</t>
  </si>
  <si>
    <t xml:space="preserve"> AED    1 000 000,00</t>
  </si>
  <si>
    <t xml:space="preserve"> AED        8 833,92</t>
  </si>
  <si>
    <t>Minimum</t>
  </si>
  <si>
    <t xml:space="preserve"> AED    2 100 000,00</t>
  </si>
  <si>
    <t>2Bed,3Bath</t>
  </si>
  <si>
    <t xml:space="preserve"> AED      16 279,07</t>
  </si>
  <si>
    <t>Maximum</t>
  </si>
  <si>
    <t xml:space="preserve"> AED    2 000 000,00</t>
  </si>
  <si>
    <t>2Bed, 3 Bath</t>
  </si>
  <si>
    <t xml:space="preserve"> AED      15 503,88</t>
  </si>
  <si>
    <t>Sum</t>
  </si>
  <si>
    <t xml:space="preserve"> AED    2 900 000,00</t>
  </si>
  <si>
    <t>3Bed, 4 Bath</t>
  </si>
  <si>
    <t xml:space="preserve"> AED      14 146,34</t>
  </si>
  <si>
    <t>Count</t>
  </si>
  <si>
    <t xml:space="preserve"> AED    1 195 000,00</t>
  </si>
  <si>
    <t>1Bed, 2Bath</t>
  </si>
  <si>
    <t xml:space="preserve"> AED      18 106,06</t>
  </si>
  <si>
    <t>Confidence Level(95,0%)</t>
  </si>
  <si>
    <t xml:space="preserve"> AED    2 150 000,00</t>
  </si>
  <si>
    <t xml:space="preserve"> AED      14 726,03</t>
  </si>
  <si>
    <t xml:space="preserve"> AED    2 750 000,00</t>
  </si>
  <si>
    <t>3 Bed, 4 Bath</t>
  </si>
  <si>
    <t xml:space="preserve"> AED      13 480,39</t>
  </si>
  <si>
    <t xml:space="preserve"> AED      17 910,45</t>
  </si>
  <si>
    <t xml:space="preserve"> AED    2 650 000,00</t>
  </si>
  <si>
    <t xml:space="preserve"> AED      20 229,01</t>
  </si>
  <si>
    <t xml:space="preserve"> AED      12 926,83</t>
  </si>
  <si>
    <t>Apartmant Downtown</t>
  </si>
  <si>
    <t>Specification</t>
  </si>
  <si>
    <t>Price NOK 60 Sq Downtown</t>
  </si>
  <si>
    <t>Kolonne1</t>
  </si>
  <si>
    <t>Gjennomsnitt</t>
  </si>
  <si>
    <t>Standardfeil</t>
  </si>
  <si>
    <t>Modus</t>
  </si>
  <si>
    <t>Standardavvik</t>
  </si>
  <si>
    <t>Utvalgsvarians</t>
  </si>
  <si>
    <t>Kurstosis</t>
  </si>
  <si>
    <t>Skjevhet</t>
  </si>
  <si>
    <t>Område</t>
  </si>
  <si>
    <t>Maksimum</t>
  </si>
  <si>
    <t>Antall</t>
  </si>
  <si>
    <t>Konfidenskoeffisient(95,0%)</t>
  </si>
  <si>
    <t>Datavaluebles</t>
  </si>
  <si>
    <t>Dubai Marina</t>
  </si>
  <si>
    <t>Expectations:</t>
  </si>
  <si>
    <t>Downtown</t>
  </si>
  <si>
    <t>investment</t>
  </si>
  <si>
    <t xml:space="preserve">index growth </t>
  </si>
  <si>
    <t>index growth montly</t>
  </si>
  <si>
    <t>index minimum</t>
  </si>
  <si>
    <t>Periods</t>
  </si>
  <si>
    <t>Index value</t>
  </si>
  <si>
    <t>Price of property</t>
  </si>
  <si>
    <t>Values</t>
  </si>
  <si>
    <t>Index Bayout juli 2021-2022 now (Growth period)</t>
  </si>
  <si>
    <t>Index Bayout 2021-2022 monthly</t>
  </si>
  <si>
    <t>Index Bayout for 2 years september 2016 - september 2018</t>
  </si>
  <si>
    <t xml:space="preserve"> Index Bayout monthly during a stable time before covid</t>
  </si>
  <si>
    <t>Dubai Downtown</t>
  </si>
  <si>
    <t>Input</t>
  </si>
  <si>
    <t>Scenario</t>
  </si>
  <si>
    <t xml:space="preserve">Data </t>
  </si>
  <si>
    <t>Marina</t>
  </si>
  <si>
    <t>Favourable market profit return</t>
  </si>
  <si>
    <t>Unfavourbale market profit return</t>
  </si>
  <si>
    <t>Start investment</t>
  </si>
  <si>
    <t>Profit return maximum</t>
  </si>
  <si>
    <t>Proft return min</t>
  </si>
  <si>
    <t>Profit return minimum</t>
  </si>
  <si>
    <t>Data</t>
  </si>
  <si>
    <t>Rent income Airbnb</t>
  </si>
  <si>
    <t>Rent income Agent</t>
  </si>
  <si>
    <t>Exhange rate AED PR 13.MARS</t>
  </si>
  <si>
    <t xml:space="preserve">Profit </t>
  </si>
  <si>
    <t>Favorable</t>
  </si>
  <si>
    <t>UnFavorable</t>
  </si>
  <si>
    <t>Maximax</t>
  </si>
  <si>
    <t>Maximin</t>
  </si>
  <si>
    <t>Hurwich</t>
  </si>
  <si>
    <t>Laplace</t>
  </si>
  <si>
    <t>Minimax regret</t>
  </si>
  <si>
    <t xml:space="preserve"> ----&gt;</t>
  </si>
  <si>
    <t>Regret</t>
  </si>
  <si>
    <t xml:space="preserve">Favourbale </t>
  </si>
  <si>
    <t>Unfavoruable</t>
  </si>
  <si>
    <t>Maximum in a row</t>
  </si>
  <si>
    <t>Fixed cost each month</t>
  </si>
  <si>
    <t>Months published on Airbnb</t>
  </si>
  <si>
    <t xml:space="preserve">Air BNB </t>
  </si>
  <si>
    <t>Opportunity regret</t>
  </si>
  <si>
    <t>Fotoagrapher Airbnb</t>
  </si>
  <si>
    <t xml:space="preserve">Reltor used (in months) </t>
  </si>
  <si>
    <t>Agent</t>
  </si>
  <si>
    <t>model connected</t>
  </si>
  <si>
    <t>Realtor fee each month</t>
  </si>
  <si>
    <t xml:space="preserve">5% of rent </t>
  </si>
  <si>
    <t>Months in rent market realtor</t>
  </si>
  <si>
    <t>Rent out to acquaintance</t>
  </si>
  <si>
    <t>to Minimax regret</t>
  </si>
  <si>
    <t>Not rent out</t>
  </si>
  <si>
    <t>Announcement cost on Airbnb</t>
  </si>
  <si>
    <t>3% of rent</t>
  </si>
  <si>
    <t>a</t>
  </si>
  <si>
    <t xml:space="preserve">Rent AirBNB  </t>
  </si>
  <si>
    <t xml:space="preserve">Rent with realtor </t>
  </si>
  <si>
    <t>a^</t>
  </si>
  <si>
    <t xml:space="preserve">Marina </t>
  </si>
  <si>
    <t xml:space="preserve">Pris pr måned </t>
  </si>
  <si>
    <t>20 måneder</t>
  </si>
  <si>
    <t>Yearly</t>
  </si>
  <si>
    <t>Monthly AED</t>
  </si>
  <si>
    <t>NOK</t>
  </si>
  <si>
    <t>Apartment 1</t>
  </si>
  <si>
    <t>Apartment 2</t>
  </si>
  <si>
    <t>Apartment 3</t>
  </si>
  <si>
    <t>Apartment 4</t>
  </si>
  <si>
    <t>Apartment 5</t>
  </si>
  <si>
    <t>Apartment 6</t>
  </si>
  <si>
    <t>Apartment 7</t>
  </si>
  <si>
    <t>Apartment 8</t>
  </si>
  <si>
    <t>Apartment 9</t>
  </si>
  <si>
    <t>Apartment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</si>
</sst>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8" formatCode="&quot;kr&quot;\ #,##0.00;[Red]\-&quot;kr&quot;\ #,##0.00"/>
    <numFmt numFmtId="44" formatCode="_-&quot;kr&quot;\ * #,##0.00_-;\-&quot;kr&quot;\ * #,##0.00_-;_-&quot;kr&quot;\ * &quot;-&quot;??_-;_-@_-"/>
    <numFmt numFmtId="43" formatCode="_-* #,##0.00_-;\-* #,##0.00_-;_-* &quot;-&quot;??_-;_-@_-"/>
    <numFmt numFmtId="164" formatCode="_-[$AED]\ * #,##0.00_-;\-[$AED]\ * #,##0.00_-;_-[$AED]\ * &quot;-&quot;??_-;_-@_-"/>
    <numFmt numFmtId="165" formatCode="_-&quot;kr&quot;\ * #,##0_-;\-&quot;kr&quot;\ * #,##0_-;_-&quot;kr&quot;\ * &quot;-&quot;??_-;_-@_-"/>
    <numFmt numFmtId="166" formatCode="&quot;kr&quot;\ #,##0"/>
    <numFmt numFmtId="167" formatCode="_-* #,##0_-;\-* #,##0_-;_-* &quot;-&quot;??_-;_-@_-"/>
    <numFmt numFmtId="168" formatCode="_-* #,##0.000_-;\-* #,##0.000_-;_-* &quot;-&quot;??_-;_-@_-"/>
    <numFmt numFmtId="169" formatCode="_-* #,##0.000000_-;\-* #,##0.000000_-;_-* &quot;-&quot;??_-;_-@_-"/>
    <numFmt numFmtId="170" formatCode="&quot;kr&quot;\ #,##0.00"/>
    <numFmt numFmtId="171" formatCode="0.0\ %"/>
    <numFmt numFmtId="172" formatCode="0.00000\ %"/>
  </numFmts>
  <fonts count="19" x14ac:knownFonts="1">
    <font>
      <sz val="12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sz val="12"/>
      <color rgb="FF000000"/>
      <name val="Calibri"/>
      <family val="2"/>
    </font>
    <font>
      <b/>
      <sz val="12"/>
      <color rgb="FF000000"/>
      <name val="Calibri"/>
      <family val="2"/>
    </font>
    <font>
      <i/>
      <sz val="12"/>
      <color rgb="FF000000"/>
      <name val="Calibri"/>
      <family val="2"/>
    </font>
    <font>
      <sz val="11"/>
      <color rgb="FF000000"/>
      <name val="Calibri"/>
      <family val="2"/>
    </font>
    <font>
      <i/>
      <sz val="11"/>
      <color rgb="FF000000"/>
      <name val="Calibri"/>
      <family val="2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theme="9"/>
      <name val="Calibri"/>
      <family val="2"/>
      <scheme val="minor"/>
    </font>
    <font>
      <b/>
      <sz val="14"/>
      <color rgb="FF000000"/>
      <name val="Calibri"/>
      <family val="2"/>
    </font>
    <font>
      <b/>
      <sz val="14"/>
      <color theme="1"/>
      <name val="Calibri"/>
      <family val="2"/>
      <scheme val="minor"/>
    </font>
    <font>
      <b/>
      <i/>
      <sz val="12"/>
      <color rgb="FF000000"/>
      <name val="Calibri"/>
      <family val="2"/>
    </font>
    <font>
      <b/>
      <i/>
      <sz val="12"/>
      <color theme="1"/>
      <name val="Calibri"/>
      <family val="2"/>
      <scheme val="minor"/>
    </font>
    <font>
      <sz val="12"/>
      <color rgb="FF000000"/>
      <name val="Calibri"/>
      <family val="2"/>
    </font>
    <font>
      <b/>
      <sz val="12"/>
      <color rgb="FF444444"/>
      <name val="Calibri"/>
      <family val="2"/>
    </font>
    <font>
      <b/>
      <sz val="12"/>
      <color rgb="FF000000"/>
      <name val="Calibri"/>
      <family val="2"/>
    </font>
  </fonts>
  <fills count="26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A9D08E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D0CECE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C6591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rgb="FFF4B084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B4C6E7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7558519241921"/>
        <bgColor indexed="64"/>
      </patternFill>
    </fill>
  </fills>
  <borders count="61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indexed="64"/>
      </bottom>
      <diagonal/>
    </border>
    <border>
      <left/>
      <right/>
      <top style="medium">
        <color rgb="FF000000"/>
      </top>
      <bottom style="medium">
        <color indexed="64"/>
      </bottom>
      <diagonal/>
    </border>
    <border>
      <left/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indexed="64"/>
      </bottom>
      <diagonal/>
    </border>
    <border>
      <left/>
      <right style="medium">
        <color rgb="FF000000"/>
      </right>
      <top/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indexed="64"/>
      </bottom>
      <diagonal/>
    </border>
    <border>
      <left style="thin">
        <color indexed="64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thin">
        <color indexed="64"/>
      </top>
      <bottom style="medium">
        <color rgb="FF000000"/>
      </bottom>
      <diagonal/>
    </border>
    <border>
      <left/>
      <right style="medium">
        <color rgb="FF000000"/>
      </right>
      <top/>
      <bottom style="thin">
        <color indexed="64"/>
      </bottom>
      <diagonal/>
    </border>
    <border>
      <left/>
      <right style="medium">
        <color rgb="FF000000"/>
      </right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 style="thin">
        <color indexed="64"/>
      </top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43" fontId="7" fillId="0" borderId="0" applyFont="0" applyFill="0" applyBorder="0" applyAlignment="0" applyProtection="0"/>
  </cellStyleXfs>
  <cellXfs count="239">
    <xf numFmtId="0" fontId="0" fillId="0" borderId="0" xfId="0"/>
    <xf numFmtId="44" fontId="0" fillId="0" borderId="0" xfId="0" applyNumberFormat="1"/>
    <xf numFmtId="0" fontId="1" fillId="0" borderId="0" xfId="0" applyFont="1" applyAlignment="1">
      <alignment horizontal="center"/>
    </xf>
    <xf numFmtId="0" fontId="2" fillId="0" borderId="0" xfId="0" applyFont="1"/>
    <xf numFmtId="0" fontId="4" fillId="0" borderId="0" xfId="0" applyFont="1"/>
    <xf numFmtId="0" fontId="2" fillId="0" borderId="1" xfId="0" applyFont="1" applyBorder="1"/>
    <xf numFmtId="0" fontId="5" fillId="0" borderId="0" xfId="0" applyFont="1"/>
    <xf numFmtId="0" fontId="6" fillId="0" borderId="0" xfId="0" applyFont="1"/>
    <xf numFmtId="165" fontId="0" fillId="0" borderId="0" xfId="0" applyNumberFormat="1"/>
    <xf numFmtId="0" fontId="8" fillId="0" borderId="0" xfId="0" applyFont="1"/>
    <xf numFmtId="167" fontId="0" fillId="0" borderId="3" xfId="0" applyNumberFormat="1" applyBorder="1"/>
    <xf numFmtId="167" fontId="0" fillId="0" borderId="5" xfId="0" applyNumberFormat="1" applyBorder="1"/>
    <xf numFmtId="167" fontId="0" fillId="0" borderId="0" xfId="0" applyNumberFormat="1"/>
    <xf numFmtId="167" fontId="0" fillId="0" borderId="10" xfId="0" applyNumberFormat="1" applyBorder="1"/>
    <xf numFmtId="0" fontId="10" fillId="0" borderId="0" xfId="0" applyFont="1"/>
    <xf numFmtId="167" fontId="10" fillId="0" borderId="0" xfId="0" applyNumberFormat="1" applyFont="1"/>
    <xf numFmtId="0" fontId="9" fillId="0" borderId="0" xfId="0" applyFont="1"/>
    <xf numFmtId="168" fontId="10" fillId="0" borderId="0" xfId="0" applyNumberFormat="1" applyFont="1"/>
    <xf numFmtId="167" fontId="9" fillId="0" borderId="0" xfId="0" applyNumberFormat="1" applyFont="1"/>
    <xf numFmtId="167" fontId="8" fillId="0" borderId="10" xfId="0" applyNumberFormat="1" applyFont="1" applyBorder="1"/>
    <xf numFmtId="4" fontId="5" fillId="0" borderId="0" xfId="0" applyNumberFormat="1" applyFont="1"/>
    <xf numFmtId="0" fontId="8" fillId="8" borderId="10" xfId="0" applyFont="1" applyFill="1" applyBorder="1" applyAlignment="1">
      <alignment horizontal="center"/>
    </xf>
    <xf numFmtId="0" fontId="8" fillId="8" borderId="11" xfId="0" applyFont="1" applyFill="1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6" xfId="0" quotePrefix="1" applyBorder="1" applyAlignment="1">
      <alignment horizontal="center"/>
    </xf>
    <xf numFmtId="0" fontId="0" fillId="0" borderId="17" xfId="0" applyBorder="1" applyAlignment="1">
      <alignment horizontal="center"/>
    </xf>
    <xf numFmtId="43" fontId="0" fillId="0" borderId="0" xfId="1" applyFont="1" applyBorder="1"/>
    <xf numFmtId="0" fontId="0" fillId="0" borderId="18" xfId="0" applyBorder="1"/>
    <xf numFmtId="0" fontId="0" fillId="0" borderId="19" xfId="0" applyBorder="1"/>
    <xf numFmtId="0" fontId="3" fillId="10" borderId="13" xfId="0" quotePrefix="1" applyFont="1" applyFill="1" applyBorder="1" applyAlignment="1">
      <alignment horizontal="center"/>
    </xf>
    <xf numFmtId="0" fontId="3" fillId="10" borderId="14" xfId="0" applyFont="1" applyFill="1" applyBorder="1" applyAlignment="1">
      <alignment horizontal="center"/>
    </xf>
    <xf numFmtId="0" fontId="3" fillId="10" borderId="14" xfId="0" quotePrefix="1" applyFont="1" applyFill="1" applyBorder="1" applyAlignment="1">
      <alignment horizontal="center"/>
    </xf>
    <xf numFmtId="0" fontId="3" fillId="10" borderId="15" xfId="0" applyFont="1" applyFill="1" applyBorder="1" applyAlignment="1">
      <alignment horizontal="center"/>
    </xf>
    <xf numFmtId="0" fontId="2" fillId="0" borderId="18" xfId="0" applyFont="1" applyBorder="1"/>
    <xf numFmtId="0" fontId="2" fillId="0" borderId="19" xfId="0" applyFont="1" applyBorder="1"/>
    <xf numFmtId="0" fontId="2" fillId="0" borderId="20" xfId="0" applyFont="1" applyBorder="1"/>
    <xf numFmtId="43" fontId="0" fillId="0" borderId="0" xfId="0" applyNumberFormat="1"/>
    <xf numFmtId="43" fontId="0" fillId="0" borderId="18" xfId="0" applyNumberFormat="1" applyBorder="1"/>
    <xf numFmtId="43" fontId="0" fillId="0" borderId="19" xfId="0" applyNumberFormat="1" applyBorder="1"/>
    <xf numFmtId="43" fontId="0" fillId="0" borderId="21" xfId="0" applyNumberFormat="1" applyBorder="1"/>
    <xf numFmtId="0" fontId="0" fillId="0" borderId="6" xfId="0" applyBorder="1"/>
    <xf numFmtId="0" fontId="0" fillId="0" borderId="7" xfId="0" applyBorder="1"/>
    <xf numFmtId="0" fontId="3" fillId="10" borderId="25" xfId="0" applyFont="1" applyFill="1" applyBorder="1" applyAlignment="1">
      <alignment horizontal="center"/>
    </xf>
    <xf numFmtId="0" fontId="3" fillId="10" borderId="26" xfId="0" applyFont="1" applyFill="1" applyBorder="1" applyAlignment="1">
      <alignment horizontal="center"/>
    </xf>
    <xf numFmtId="0" fontId="3" fillId="10" borderId="26" xfId="0" quotePrefix="1" applyFont="1" applyFill="1" applyBorder="1" applyAlignment="1">
      <alignment horizontal="center"/>
    </xf>
    <xf numFmtId="164" fontId="8" fillId="10" borderId="26" xfId="0" applyNumberFormat="1" applyFont="1" applyFill="1" applyBorder="1" applyAlignment="1">
      <alignment horizontal="center"/>
    </xf>
    <xf numFmtId="0" fontId="3" fillId="10" borderId="27" xfId="0" applyFont="1" applyFill="1" applyBorder="1" applyAlignment="1">
      <alignment horizontal="center"/>
    </xf>
    <xf numFmtId="164" fontId="0" fillId="0" borderId="0" xfId="0" applyNumberFormat="1"/>
    <xf numFmtId="164" fontId="0" fillId="0" borderId="31" xfId="0" applyNumberFormat="1" applyBorder="1"/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31" xfId="0" applyBorder="1" applyAlignment="1">
      <alignment horizontal="center"/>
    </xf>
    <xf numFmtId="0" fontId="2" fillId="0" borderId="31" xfId="0" applyFont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30" xfId="0" applyBorder="1" applyAlignment="1">
      <alignment horizontal="center"/>
    </xf>
    <xf numFmtId="8" fontId="2" fillId="0" borderId="0" xfId="0" applyNumberFormat="1" applyFont="1" applyAlignment="1">
      <alignment horizontal="center"/>
    </xf>
    <xf numFmtId="8" fontId="2" fillId="4" borderId="19" xfId="0" applyNumberFormat="1" applyFont="1" applyFill="1" applyBorder="1" applyAlignment="1">
      <alignment horizontal="center"/>
    </xf>
    <xf numFmtId="8" fontId="2" fillId="0" borderId="1" xfId="0" applyNumberFormat="1" applyFont="1" applyBorder="1" applyAlignment="1">
      <alignment horizontal="center"/>
    </xf>
    <xf numFmtId="8" fontId="2" fillId="4" borderId="21" xfId="0" applyNumberFormat="1" applyFont="1" applyFill="1" applyBorder="1" applyAlignment="1">
      <alignment horizontal="center"/>
    </xf>
    <xf numFmtId="165" fontId="0" fillId="4" borderId="29" xfId="0" applyNumberFormat="1" applyFill="1" applyBorder="1"/>
    <xf numFmtId="44" fontId="0" fillId="0" borderId="31" xfId="0" applyNumberFormat="1" applyBorder="1"/>
    <xf numFmtId="165" fontId="0" fillId="4" borderId="32" xfId="0" applyNumberFormat="1" applyFill="1" applyBorder="1"/>
    <xf numFmtId="0" fontId="2" fillId="0" borderId="18" xfId="0" applyFont="1" applyBorder="1" applyAlignment="1">
      <alignment horizontal="center"/>
    </xf>
    <xf numFmtId="0" fontId="2" fillId="0" borderId="20" xfId="0" applyFont="1" applyBorder="1" applyAlignment="1">
      <alignment horizontal="center"/>
    </xf>
    <xf numFmtId="0" fontId="8" fillId="2" borderId="36" xfId="0" applyFont="1" applyFill="1" applyBorder="1"/>
    <xf numFmtId="0" fontId="8" fillId="2" borderId="28" xfId="0" applyFont="1" applyFill="1" applyBorder="1"/>
    <xf numFmtId="0" fontId="0" fillId="2" borderId="28" xfId="0" applyFill="1" applyBorder="1"/>
    <xf numFmtId="0" fontId="0" fillId="2" borderId="30" xfId="0" applyFill="1" applyBorder="1"/>
    <xf numFmtId="0" fontId="0" fillId="3" borderId="37" xfId="0" applyFill="1" applyBorder="1"/>
    <xf numFmtId="0" fontId="0" fillId="3" borderId="28" xfId="0" applyFill="1" applyBorder="1"/>
    <xf numFmtId="0" fontId="0" fillId="3" borderId="30" xfId="0" applyFill="1" applyBorder="1"/>
    <xf numFmtId="0" fontId="8" fillId="2" borderId="38" xfId="0" applyFont="1" applyFill="1" applyBorder="1"/>
    <xf numFmtId="0" fontId="0" fillId="2" borderId="0" xfId="0" applyFill="1"/>
    <xf numFmtId="0" fontId="0" fillId="2" borderId="31" xfId="0" applyFill="1" applyBorder="1"/>
    <xf numFmtId="0" fontId="8" fillId="13" borderId="36" xfId="0" applyFont="1" applyFill="1" applyBorder="1"/>
    <xf numFmtId="0" fontId="8" fillId="13" borderId="28" xfId="0" applyFont="1" applyFill="1" applyBorder="1"/>
    <xf numFmtId="0" fontId="0" fillId="13" borderId="28" xfId="0" applyFill="1" applyBorder="1"/>
    <xf numFmtId="0" fontId="0" fillId="13" borderId="30" xfId="0" applyFill="1" applyBorder="1"/>
    <xf numFmtId="0" fontId="0" fillId="14" borderId="38" xfId="0" applyFill="1" applyBorder="1"/>
    <xf numFmtId="0" fontId="0" fillId="14" borderId="28" xfId="0" applyFill="1" applyBorder="1"/>
    <xf numFmtId="0" fontId="0" fillId="14" borderId="30" xfId="0" applyFill="1" applyBorder="1"/>
    <xf numFmtId="0" fontId="8" fillId="13" borderId="38" xfId="0" applyFont="1" applyFill="1" applyBorder="1"/>
    <xf numFmtId="0" fontId="0" fillId="13" borderId="0" xfId="0" applyFill="1"/>
    <xf numFmtId="0" fontId="0" fillId="13" borderId="31" xfId="0" applyFill="1" applyBorder="1"/>
    <xf numFmtId="0" fontId="0" fillId="0" borderId="29" xfId="0" applyBorder="1"/>
    <xf numFmtId="167" fontId="0" fillId="4" borderId="0" xfId="0" applyNumberFormat="1" applyFill="1"/>
    <xf numFmtId="0" fontId="0" fillId="0" borderId="39" xfId="0" applyBorder="1"/>
    <xf numFmtId="0" fontId="0" fillId="12" borderId="39" xfId="0" applyFill="1" applyBorder="1" applyAlignment="1">
      <alignment horizontal="center"/>
    </xf>
    <xf numFmtId="0" fontId="0" fillId="12" borderId="40" xfId="0" applyFill="1" applyBorder="1" applyAlignment="1">
      <alignment horizontal="center"/>
    </xf>
    <xf numFmtId="0" fontId="0" fillId="0" borderId="36" xfId="0" applyBorder="1" applyAlignment="1">
      <alignment horizontal="center"/>
    </xf>
    <xf numFmtId="10" fontId="0" fillId="0" borderId="38" xfId="0" applyNumberFormat="1" applyBorder="1" applyAlignment="1">
      <alignment horizontal="center"/>
    </xf>
    <xf numFmtId="10" fontId="0" fillId="0" borderId="0" xfId="0" applyNumberFormat="1" applyAlignment="1">
      <alignment horizontal="center"/>
    </xf>
    <xf numFmtId="44" fontId="0" fillId="0" borderId="29" xfId="0" applyNumberFormat="1" applyBorder="1" applyAlignment="1">
      <alignment horizontal="center"/>
    </xf>
    <xf numFmtId="0" fontId="0" fillId="0" borderId="29" xfId="0" applyBorder="1" applyAlignment="1">
      <alignment horizontal="center"/>
    </xf>
    <xf numFmtId="10" fontId="0" fillId="0" borderId="31" xfId="0" applyNumberFormat="1" applyBorder="1" applyAlignment="1">
      <alignment horizontal="center"/>
    </xf>
    <xf numFmtId="43" fontId="0" fillId="5" borderId="32" xfId="1" applyFont="1" applyFill="1" applyBorder="1" applyAlignment="1">
      <alignment horizontal="center"/>
    </xf>
    <xf numFmtId="44" fontId="0" fillId="5" borderId="32" xfId="0" applyNumberFormat="1" applyFill="1" applyBorder="1" applyAlignment="1">
      <alignment horizontal="center"/>
    </xf>
    <xf numFmtId="0" fontId="8" fillId="6" borderId="36" xfId="0" applyFont="1" applyFill="1" applyBorder="1" applyAlignment="1">
      <alignment horizontal="center"/>
    </xf>
    <xf numFmtId="0" fontId="8" fillId="6" borderId="38" xfId="0" applyFont="1" applyFill="1" applyBorder="1" applyAlignment="1">
      <alignment horizontal="center"/>
    </xf>
    <xf numFmtId="0" fontId="8" fillId="6" borderId="37" xfId="0" applyFont="1" applyFill="1" applyBorder="1" applyAlignment="1">
      <alignment horizontal="center"/>
    </xf>
    <xf numFmtId="0" fontId="8" fillId="6" borderId="33" xfId="0" applyFont="1" applyFill="1" applyBorder="1" applyAlignment="1">
      <alignment horizontal="center"/>
    </xf>
    <xf numFmtId="0" fontId="8" fillId="6" borderId="34" xfId="0" applyFont="1" applyFill="1" applyBorder="1" applyAlignment="1">
      <alignment horizontal="center"/>
    </xf>
    <xf numFmtId="0" fontId="8" fillId="6" borderId="35" xfId="0" applyFont="1" applyFill="1" applyBorder="1" applyAlignment="1">
      <alignment horizontal="center"/>
    </xf>
    <xf numFmtId="0" fontId="8" fillId="3" borderId="36" xfId="0" applyFont="1" applyFill="1" applyBorder="1"/>
    <xf numFmtId="0" fontId="1" fillId="0" borderId="0" xfId="0" applyFont="1" applyAlignment="1">
      <alignment horizontal="centerContinuous"/>
    </xf>
    <xf numFmtId="0" fontId="8" fillId="12" borderId="33" xfId="0" applyFont="1" applyFill="1" applyBorder="1" applyAlignment="1">
      <alignment horizontal="center"/>
    </xf>
    <xf numFmtId="0" fontId="8" fillId="12" borderId="35" xfId="0" applyFont="1" applyFill="1" applyBorder="1" applyAlignment="1">
      <alignment horizontal="center"/>
    </xf>
    <xf numFmtId="167" fontId="0" fillId="0" borderId="29" xfId="0" applyNumberFormat="1" applyBorder="1"/>
    <xf numFmtId="167" fontId="0" fillId="0" borderId="43" xfId="0" applyNumberFormat="1" applyBorder="1"/>
    <xf numFmtId="167" fontId="0" fillId="0" borderId="44" xfId="0" applyNumberFormat="1" applyBorder="1"/>
    <xf numFmtId="167" fontId="0" fillId="0" borderId="45" xfId="0" applyNumberFormat="1" applyBorder="1"/>
    <xf numFmtId="0" fontId="8" fillId="12" borderId="41" xfId="0" applyFont="1" applyFill="1" applyBorder="1"/>
    <xf numFmtId="0" fontId="8" fillId="12" borderId="35" xfId="0" applyFont="1" applyFill="1" applyBorder="1"/>
    <xf numFmtId="167" fontId="8" fillId="12" borderId="41" xfId="0" applyNumberFormat="1" applyFont="1" applyFill="1" applyBorder="1"/>
    <xf numFmtId="167" fontId="8" fillId="12" borderId="35" xfId="0" applyNumberFormat="1" applyFont="1" applyFill="1" applyBorder="1"/>
    <xf numFmtId="0" fontId="8" fillId="12" borderId="33" xfId="0" applyFont="1" applyFill="1" applyBorder="1"/>
    <xf numFmtId="167" fontId="8" fillId="12" borderId="33" xfId="0" applyNumberFormat="1" applyFont="1" applyFill="1" applyBorder="1" applyAlignment="1">
      <alignment horizontal="center"/>
    </xf>
    <xf numFmtId="167" fontId="8" fillId="12" borderId="41" xfId="0" applyNumberFormat="1" applyFont="1" applyFill="1" applyBorder="1" applyAlignment="1">
      <alignment horizontal="center"/>
    </xf>
    <xf numFmtId="167" fontId="0" fillId="0" borderId="28" xfId="0" applyNumberFormat="1" applyBorder="1"/>
    <xf numFmtId="167" fontId="0" fillId="0" borderId="42" xfId="0" applyNumberFormat="1" applyBorder="1"/>
    <xf numFmtId="167" fontId="8" fillId="12" borderId="30" xfId="0" applyNumberFormat="1" applyFont="1" applyFill="1" applyBorder="1"/>
    <xf numFmtId="0" fontId="0" fillId="0" borderId="32" xfId="0" applyBorder="1" applyAlignment="1">
      <alignment horizontal="center"/>
    </xf>
    <xf numFmtId="0" fontId="0" fillId="10" borderId="28" xfId="0" applyFill="1" applyBorder="1"/>
    <xf numFmtId="0" fontId="0" fillId="10" borderId="29" xfId="0" applyFill="1" applyBorder="1"/>
    <xf numFmtId="0" fontId="0" fillId="10" borderId="30" xfId="0" applyFill="1" applyBorder="1"/>
    <xf numFmtId="0" fontId="0" fillId="10" borderId="32" xfId="0" applyFill="1" applyBorder="1"/>
    <xf numFmtId="167" fontId="0" fillId="11" borderId="50" xfId="1" applyNumberFormat="1" applyFont="1" applyFill="1" applyBorder="1" applyAlignment="1"/>
    <xf numFmtId="167" fontId="0" fillId="11" borderId="51" xfId="1" applyNumberFormat="1" applyFont="1" applyFill="1" applyBorder="1" applyAlignment="1"/>
    <xf numFmtId="167" fontId="0" fillId="6" borderId="51" xfId="1" applyNumberFormat="1" applyFont="1" applyFill="1" applyBorder="1" applyAlignment="1"/>
    <xf numFmtId="167" fontId="0" fillId="6" borderId="52" xfId="1" applyNumberFormat="1" applyFont="1" applyFill="1" applyBorder="1" applyAlignment="1"/>
    <xf numFmtId="0" fontId="0" fillId="6" borderId="47" xfId="0" applyFill="1" applyBorder="1" applyAlignment="1">
      <alignment horizontal="right"/>
    </xf>
    <xf numFmtId="0" fontId="0" fillId="6" borderId="48" xfId="0" applyFill="1" applyBorder="1" applyAlignment="1">
      <alignment horizontal="right"/>
    </xf>
    <xf numFmtId="0" fontId="0" fillId="6" borderId="49" xfId="0" applyFill="1" applyBorder="1" applyAlignment="1">
      <alignment horizontal="right"/>
    </xf>
    <xf numFmtId="0" fontId="0" fillId="0" borderId="2" xfId="0" quotePrefix="1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4" xfId="0" applyBorder="1" applyAlignment="1">
      <alignment horizontal="right"/>
    </xf>
    <xf numFmtId="167" fontId="0" fillId="0" borderId="6" xfId="1" applyNumberFormat="1" applyFont="1" applyBorder="1" applyAlignment="1"/>
    <xf numFmtId="167" fontId="0" fillId="0" borderId="0" xfId="1" applyNumberFormat="1" applyFont="1" applyAlignment="1"/>
    <xf numFmtId="167" fontId="11" fillId="0" borderId="9" xfId="1" applyNumberFormat="1" applyFont="1" applyBorder="1" applyAlignment="1"/>
    <xf numFmtId="167" fontId="0" fillId="0" borderId="9" xfId="1" applyNumberFormat="1" applyFont="1" applyBorder="1" applyAlignment="1"/>
    <xf numFmtId="167" fontId="0" fillId="0" borderId="8" xfId="1" applyNumberFormat="1" applyFont="1" applyBorder="1" applyAlignment="1"/>
    <xf numFmtId="167" fontId="0" fillId="0" borderId="7" xfId="1" applyNumberFormat="1" applyFont="1" applyBorder="1" applyAlignment="1"/>
    <xf numFmtId="167" fontId="0" fillId="0" borderId="12" xfId="1" applyNumberFormat="1" applyFont="1" applyBorder="1" applyAlignment="1"/>
    <xf numFmtId="0" fontId="0" fillId="0" borderId="11" xfId="0" applyBorder="1" applyAlignment="1">
      <alignment horizontal="right"/>
    </xf>
    <xf numFmtId="0" fontId="16" fillId="0" borderId="18" xfId="0" applyFont="1" applyBorder="1"/>
    <xf numFmtId="0" fontId="16" fillId="0" borderId="20" xfId="0" applyFont="1" applyBorder="1"/>
    <xf numFmtId="0" fontId="15" fillId="0" borderId="22" xfId="0" applyFont="1" applyBorder="1" applyAlignment="1">
      <alignment horizontal="centerContinuous"/>
    </xf>
    <xf numFmtId="0" fontId="15" fillId="0" borderId="23" xfId="0" applyFont="1" applyBorder="1" applyAlignment="1">
      <alignment horizontal="centerContinuous"/>
    </xf>
    <xf numFmtId="0" fontId="13" fillId="6" borderId="41" xfId="0" quotePrefix="1" applyFont="1" applyFill="1" applyBorder="1" applyAlignment="1">
      <alignment horizontal="left"/>
    </xf>
    <xf numFmtId="0" fontId="8" fillId="0" borderId="54" xfId="0" applyFont="1" applyBorder="1" applyAlignment="1">
      <alignment horizontal="center"/>
    </xf>
    <xf numFmtId="0" fontId="8" fillId="0" borderId="24" xfId="0" applyFont="1" applyBorder="1" applyAlignment="1">
      <alignment horizontal="center"/>
    </xf>
    <xf numFmtId="0" fontId="8" fillId="0" borderId="15" xfId="0" applyFont="1" applyBorder="1" applyAlignment="1">
      <alignment horizontal="center"/>
    </xf>
    <xf numFmtId="0" fontId="0" fillId="12" borderId="28" xfId="0" applyFill="1" applyBorder="1"/>
    <xf numFmtId="0" fontId="0" fillId="12" borderId="29" xfId="0" applyFill="1" applyBorder="1"/>
    <xf numFmtId="0" fontId="0" fillId="12" borderId="32" xfId="0" applyFill="1" applyBorder="1"/>
    <xf numFmtId="0" fontId="8" fillId="0" borderId="25" xfId="0" applyFont="1" applyBorder="1" applyAlignment="1">
      <alignment horizontal="center" vertical="center"/>
    </xf>
    <xf numFmtId="0" fontId="8" fillId="0" borderId="26" xfId="0" applyFont="1" applyBorder="1"/>
    <xf numFmtId="0" fontId="8" fillId="0" borderId="27" xfId="0" applyFont="1" applyBorder="1"/>
    <xf numFmtId="43" fontId="0" fillId="0" borderId="29" xfId="1" applyFont="1" applyBorder="1"/>
    <xf numFmtId="43" fontId="0" fillId="0" borderId="31" xfId="1" applyFont="1" applyBorder="1"/>
    <xf numFmtId="43" fontId="0" fillId="0" borderId="32" xfId="1" applyFont="1" applyBorder="1"/>
    <xf numFmtId="0" fontId="12" fillId="10" borderId="39" xfId="0" applyFont="1" applyFill="1" applyBorder="1"/>
    <xf numFmtId="0" fontId="8" fillId="15" borderId="36" xfId="0" applyFont="1" applyFill="1" applyBorder="1" applyAlignment="1">
      <alignment horizontal="center"/>
    </xf>
    <xf numFmtId="10" fontId="0" fillId="0" borderId="29" xfId="0" applyNumberFormat="1" applyBorder="1" applyAlignment="1">
      <alignment horizontal="center"/>
    </xf>
    <xf numFmtId="10" fontId="0" fillId="3" borderId="29" xfId="0" applyNumberFormat="1" applyFill="1" applyBorder="1" applyAlignment="1">
      <alignment horizontal="center"/>
    </xf>
    <xf numFmtId="43" fontId="8" fillId="11" borderId="19" xfId="0" applyNumberFormat="1" applyFont="1" applyFill="1" applyBorder="1"/>
    <xf numFmtId="43" fontId="0" fillId="0" borderId="44" xfId="0" applyNumberFormat="1" applyBorder="1"/>
    <xf numFmtId="0" fontId="16" fillId="0" borderId="44" xfId="0" applyFont="1" applyBorder="1"/>
    <xf numFmtId="0" fontId="16" fillId="0" borderId="40" xfId="0" applyFont="1" applyBorder="1"/>
    <xf numFmtId="0" fontId="8" fillId="16" borderId="36" xfId="0" applyFont="1" applyFill="1" applyBorder="1" applyAlignment="1">
      <alignment horizontal="center"/>
    </xf>
    <xf numFmtId="10" fontId="0" fillId="0" borderId="29" xfId="0" applyNumberFormat="1" applyBorder="1"/>
    <xf numFmtId="0" fontId="17" fillId="0" borderId="28" xfId="0" applyFont="1" applyBorder="1" applyAlignment="1">
      <alignment horizontal="center"/>
    </xf>
    <xf numFmtId="0" fontId="8" fillId="15" borderId="37" xfId="0" applyFont="1" applyFill="1" applyBorder="1" applyAlignment="1">
      <alignment horizontal="center"/>
    </xf>
    <xf numFmtId="44" fontId="0" fillId="0" borderId="37" xfId="0" applyNumberFormat="1" applyBorder="1" applyAlignment="1">
      <alignment horizontal="center"/>
    </xf>
    <xf numFmtId="44" fontId="0" fillId="19" borderId="0" xfId="0" applyNumberFormat="1" applyFill="1"/>
    <xf numFmtId="0" fontId="8" fillId="12" borderId="55" xfId="0" applyFont="1" applyFill="1" applyBorder="1" applyAlignment="1">
      <alignment horizontal="center"/>
    </xf>
    <xf numFmtId="170" fontId="2" fillId="0" borderId="19" xfId="1" applyNumberFormat="1" applyFont="1" applyBorder="1" applyAlignment="1">
      <alignment horizontal="center"/>
    </xf>
    <xf numFmtId="2" fontId="2" fillId="0" borderId="19" xfId="1" applyNumberFormat="1" applyFont="1" applyBorder="1" applyAlignment="1">
      <alignment horizontal="center"/>
    </xf>
    <xf numFmtId="1" fontId="2" fillId="0" borderId="19" xfId="1" applyNumberFormat="1" applyFont="1" applyBorder="1" applyAlignment="1">
      <alignment horizontal="center"/>
    </xf>
    <xf numFmtId="166" fontId="2" fillId="4" borderId="19" xfId="1" applyNumberFormat="1" applyFont="1" applyFill="1" applyBorder="1" applyAlignment="1">
      <alignment horizontal="center"/>
    </xf>
    <xf numFmtId="166" fontId="2" fillId="0" borderId="19" xfId="1" applyNumberFormat="1" applyFont="1" applyBorder="1" applyAlignment="1">
      <alignment horizontal="center"/>
    </xf>
    <xf numFmtId="166" fontId="2" fillId="0" borderId="21" xfId="1" applyNumberFormat="1" applyFont="1" applyBorder="1" applyAlignment="1">
      <alignment horizontal="center"/>
    </xf>
    <xf numFmtId="166" fontId="0" fillId="4" borderId="19" xfId="0" applyNumberFormat="1" applyFill="1" applyBorder="1" applyAlignment="1">
      <alignment horizontal="center"/>
    </xf>
    <xf numFmtId="166" fontId="0" fillId="0" borderId="19" xfId="0" applyNumberFormat="1" applyBorder="1" applyAlignment="1">
      <alignment horizontal="center"/>
    </xf>
    <xf numFmtId="2" fontId="0" fillId="0" borderId="19" xfId="0" applyNumberFormat="1" applyBorder="1" applyAlignment="1">
      <alignment horizontal="center"/>
    </xf>
    <xf numFmtId="1" fontId="0" fillId="0" borderId="19" xfId="0" applyNumberFormat="1" applyBorder="1" applyAlignment="1">
      <alignment horizontal="center"/>
    </xf>
    <xf numFmtId="166" fontId="0" fillId="0" borderId="21" xfId="0" applyNumberFormat="1" applyBorder="1" applyAlignment="1">
      <alignment horizontal="center"/>
    </xf>
    <xf numFmtId="10" fontId="0" fillId="0" borderId="0" xfId="0" applyNumberFormat="1"/>
    <xf numFmtId="167" fontId="0" fillId="22" borderId="44" xfId="0" applyNumberFormat="1" applyFill="1" applyBorder="1"/>
    <xf numFmtId="167" fontId="0" fillId="20" borderId="29" xfId="0" applyNumberFormat="1" applyFill="1" applyBorder="1"/>
    <xf numFmtId="167" fontId="0" fillId="4" borderId="32" xfId="0" applyNumberFormat="1" applyFill="1" applyBorder="1"/>
    <xf numFmtId="167" fontId="0" fillId="4" borderId="40" xfId="0" applyNumberFormat="1" applyFill="1" applyBorder="1"/>
    <xf numFmtId="167" fontId="0" fillId="21" borderId="44" xfId="0" applyNumberFormat="1" applyFill="1" applyBorder="1"/>
    <xf numFmtId="167" fontId="0" fillId="22" borderId="28" xfId="0" applyNumberFormat="1" applyFill="1" applyBorder="1"/>
    <xf numFmtId="9" fontId="0" fillId="0" borderId="29" xfId="0" applyNumberFormat="1" applyBorder="1" applyAlignment="1">
      <alignment horizontal="center"/>
    </xf>
    <xf numFmtId="9" fontId="0" fillId="0" borderId="0" xfId="0" applyNumberFormat="1"/>
    <xf numFmtId="171" fontId="0" fillId="0" borderId="0" xfId="0" applyNumberFormat="1" applyAlignment="1">
      <alignment horizontal="center"/>
    </xf>
    <xf numFmtId="0" fontId="1" fillId="23" borderId="56" xfId="0" applyFont="1" applyFill="1" applyBorder="1" applyAlignment="1">
      <alignment horizontal="centerContinuous"/>
    </xf>
    <xf numFmtId="0" fontId="1" fillId="7" borderId="56" xfId="0" applyFont="1" applyFill="1" applyBorder="1" applyAlignment="1">
      <alignment horizontal="centerContinuous"/>
    </xf>
    <xf numFmtId="0" fontId="15" fillId="7" borderId="56" xfId="0" applyFont="1" applyFill="1" applyBorder="1" applyAlignment="1">
      <alignment horizontal="centerContinuous"/>
    </xf>
    <xf numFmtId="0" fontId="15" fillId="23" borderId="56" xfId="0" applyFont="1" applyFill="1" applyBorder="1" applyAlignment="1">
      <alignment horizontal="centerContinuous"/>
    </xf>
    <xf numFmtId="169" fontId="0" fillId="5" borderId="0" xfId="1" applyNumberFormat="1" applyFont="1" applyFill="1" applyBorder="1" applyAlignment="1"/>
    <xf numFmtId="169" fontId="0" fillId="0" borderId="0" xfId="1" applyNumberFormat="1" applyFont="1" applyFill="1" applyBorder="1" applyAlignment="1"/>
    <xf numFmtId="169" fontId="0" fillId="25" borderId="0" xfId="1" applyNumberFormat="1" applyFont="1" applyFill="1" applyBorder="1" applyAlignment="1"/>
    <xf numFmtId="169" fontId="0" fillId="24" borderId="0" xfId="1" applyNumberFormat="1" applyFont="1" applyFill="1" applyBorder="1" applyAlignment="1"/>
    <xf numFmtId="169" fontId="10" fillId="0" borderId="0" xfId="1" applyNumberFormat="1" applyFont="1" applyFill="1" applyBorder="1" applyAlignment="1"/>
    <xf numFmtId="169" fontId="0" fillId="0" borderId="1" xfId="1" applyNumberFormat="1" applyFont="1" applyFill="1" applyBorder="1" applyAlignment="1"/>
    <xf numFmtId="10" fontId="0" fillId="0" borderId="32" xfId="0" applyNumberFormat="1" applyBorder="1" applyAlignment="1">
      <alignment horizontal="center"/>
    </xf>
    <xf numFmtId="0" fontId="8" fillId="0" borderId="32" xfId="0" applyFont="1" applyBorder="1"/>
    <xf numFmtId="0" fontId="0" fillId="18" borderId="29" xfId="0" applyFill="1" applyBorder="1"/>
    <xf numFmtId="0" fontId="0" fillId="17" borderId="29" xfId="0" applyFill="1" applyBorder="1" applyAlignment="1">
      <alignment horizontal="center"/>
    </xf>
    <xf numFmtId="0" fontId="0" fillId="14" borderId="0" xfId="0" applyFill="1"/>
    <xf numFmtId="10" fontId="0" fillId="18" borderId="32" xfId="0" applyNumberFormat="1" applyFill="1" applyBorder="1" applyAlignment="1">
      <alignment horizontal="center"/>
    </xf>
    <xf numFmtId="10" fontId="0" fillId="14" borderId="0" xfId="0" applyNumberFormat="1" applyFill="1" applyAlignment="1">
      <alignment horizontal="center"/>
    </xf>
    <xf numFmtId="172" fontId="0" fillId="17" borderId="32" xfId="0" applyNumberFormat="1" applyFill="1" applyBorder="1" applyAlignment="1">
      <alignment horizontal="center"/>
    </xf>
    <xf numFmtId="168" fontId="0" fillId="0" borderId="0" xfId="0" applyNumberFormat="1"/>
    <xf numFmtId="167" fontId="0" fillId="0" borderId="0" xfId="1" applyNumberFormat="1" applyFont="1" applyBorder="1" applyAlignment="1"/>
    <xf numFmtId="167" fontId="8" fillId="0" borderId="0" xfId="0" applyNumberFormat="1" applyFont="1"/>
    <xf numFmtId="167" fontId="10" fillId="0" borderId="9" xfId="1" applyNumberFormat="1" applyFont="1" applyBorder="1" applyAlignment="1"/>
    <xf numFmtId="0" fontId="0" fillId="12" borderId="30" xfId="0" quotePrefix="1" applyFill="1" applyBorder="1" applyAlignment="1">
      <alignment horizontal="left"/>
    </xf>
    <xf numFmtId="0" fontId="8" fillId="7" borderId="33" xfId="0" applyFont="1" applyFill="1" applyBorder="1" applyAlignment="1">
      <alignment horizontal="center"/>
    </xf>
    <xf numFmtId="0" fontId="8" fillId="7" borderId="57" xfId="0" applyFont="1" applyFill="1" applyBorder="1" applyAlignment="1">
      <alignment horizontal="center"/>
    </xf>
    <xf numFmtId="0" fontId="8" fillId="7" borderId="58" xfId="0" applyFont="1" applyFill="1" applyBorder="1" applyAlignment="1">
      <alignment horizontal="center"/>
    </xf>
    <xf numFmtId="0" fontId="8" fillId="7" borderId="59" xfId="0" applyFont="1" applyFill="1" applyBorder="1" applyAlignment="1">
      <alignment horizontal="center"/>
    </xf>
    <xf numFmtId="0" fontId="8" fillId="9" borderId="60" xfId="0" applyFont="1" applyFill="1" applyBorder="1" applyAlignment="1">
      <alignment horizontal="center"/>
    </xf>
    <xf numFmtId="167" fontId="11" fillId="0" borderId="7" xfId="1" applyNumberFormat="1" applyFont="1" applyBorder="1" applyAlignment="1"/>
    <xf numFmtId="167" fontId="11" fillId="0" borderId="4" xfId="1" applyNumberFormat="1" applyFont="1" applyBorder="1" applyAlignment="1"/>
    <xf numFmtId="0" fontId="18" fillId="11" borderId="34" xfId="0" applyFont="1" applyFill="1" applyBorder="1" applyAlignment="1">
      <alignment horizontal="center"/>
    </xf>
    <xf numFmtId="0" fontId="14" fillId="0" borderId="13" xfId="0" applyFont="1" applyBorder="1" applyAlignment="1">
      <alignment horizontal="center"/>
    </xf>
    <xf numFmtId="0" fontId="14" fillId="0" borderId="15" xfId="0" applyFont="1" applyBorder="1" applyAlignment="1">
      <alignment horizontal="center"/>
    </xf>
    <xf numFmtId="0" fontId="15" fillId="0" borderId="33" xfId="0" applyFont="1" applyBorder="1" applyAlignment="1">
      <alignment horizontal="center" vertical="center"/>
    </xf>
    <xf numFmtId="0" fontId="15" fillId="0" borderId="35" xfId="0" applyFont="1" applyBorder="1" applyAlignment="1">
      <alignment horizontal="center" vertical="center"/>
    </xf>
    <xf numFmtId="0" fontId="8" fillId="10" borderId="25" xfId="0" applyFont="1" applyFill="1" applyBorder="1" applyAlignment="1">
      <alignment horizontal="center" wrapText="1"/>
    </xf>
    <xf numFmtId="0" fontId="8" fillId="10" borderId="27" xfId="0" applyFont="1" applyFill="1" applyBorder="1" applyAlignment="1">
      <alignment horizontal="center" wrapText="1"/>
    </xf>
    <xf numFmtId="0" fontId="8" fillId="6" borderId="53" xfId="0" applyFont="1" applyFill="1" applyBorder="1" applyAlignment="1">
      <alignment horizontal="center"/>
    </xf>
    <xf numFmtId="0" fontId="8" fillId="6" borderId="46" xfId="0" applyFont="1" applyFill="1" applyBorder="1" applyAlignment="1">
      <alignment horizontal="center"/>
    </xf>
    <xf numFmtId="0" fontId="8" fillId="12" borderId="33" xfId="0" applyFont="1" applyFill="1" applyBorder="1" applyAlignment="1">
      <alignment horizontal="center"/>
    </xf>
    <xf numFmtId="0" fontId="8" fillId="12" borderId="35" xfId="0" applyFont="1" applyFill="1" applyBorder="1" applyAlignment="1">
      <alignment horizontal="center"/>
    </xf>
  </cellXfs>
  <cellStyles count="2">
    <cellStyle name="K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b-N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 Black"/>
                <a:ea typeface="Arial Black"/>
                <a:cs typeface="Arial Black"/>
              </a:defRPr>
            </a:pPr>
            <a:r>
              <a:rPr lang="en-US"/>
              <a:t>Downtwon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 Black"/>
              <a:ea typeface="Arial Black"/>
              <a:cs typeface="Arial Black"/>
            </a:defRPr>
          </a:pPr>
          <a:endParaRPr lang="nb-NO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Data!$G$29:$G$48</c:f>
              <c:numCache>
                <c:formatCode>_-"kr"\ * #\ ##0_-;\-"kr"\ * #\ ##0_-;_-"kr"\ * "-"??_-;_-@_-</c:formatCode>
                <c:ptCount val="20"/>
                <c:pt idx="0">
                  <c:v>3640404.8540145988</c:v>
                </c:pt>
                <c:pt idx="1">
                  <c:v>8300807.657550537</c:v>
                </c:pt>
                <c:pt idx="2">
                  <c:v>4158227.8481012667</c:v>
                </c:pt>
                <c:pt idx="3">
                  <c:v>5979517.8678970374</c:v>
                </c:pt>
                <c:pt idx="4">
                  <c:v>7776000</c:v>
                </c:pt>
                <c:pt idx="5">
                  <c:v>3309143.6865021773</c:v>
                </c:pt>
                <c:pt idx="6">
                  <c:v>4397142.8571428573</c:v>
                </c:pt>
                <c:pt idx="7">
                  <c:v>7094680.8510638298</c:v>
                </c:pt>
                <c:pt idx="8">
                  <c:v>9697710.7180020809</c:v>
                </c:pt>
                <c:pt idx="9">
                  <c:v>2047904.1916167664</c:v>
                </c:pt>
                <c:pt idx="10">
                  <c:v>5467177.1818517148</c:v>
                </c:pt>
                <c:pt idx="11">
                  <c:v>4793764.0449438207</c:v>
                </c:pt>
                <c:pt idx="12">
                  <c:v>2666972.4770642207</c:v>
                </c:pt>
                <c:pt idx="13">
                  <c:v>5368506.6535239033</c:v>
                </c:pt>
                <c:pt idx="14">
                  <c:v>5615763.5467980299</c:v>
                </c:pt>
                <c:pt idx="15">
                  <c:v>5358802.8169014091</c:v>
                </c:pt>
                <c:pt idx="16">
                  <c:v>3593541.7734495131</c:v>
                </c:pt>
                <c:pt idx="17">
                  <c:v>3190908.2727272729</c:v>
                </c:pt>
                <c:pt idx="18">
                  <c:v>4592255.1069767447</c:v>
                </c:pt>
                <c:pt idx="19">
                  <c:v>4143559.6521739131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030-4FDB-B8AB-7343FBAA56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70149880"/>
        <c:axId val="1032913879"/>
      </c:scatterChart>
      <c:valAx>
        <c:axId val="8701498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1032913879"/>
        <c:crosses val="autoZero"/>
        <c:crossBetween val="midCat"/>
      </c:valAx>
      <c:valAx>
        <c:axId val="10329138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&quot;kr&quot;\ * #\ ##0_-;\-&quot;kr&quot;\ * #\ ##0_-;_-&quot;kr&quot;\ * &quot;-&quot;??_-;_-@_-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8701498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b-N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b-NO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b-N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 Black"/>
                <a:ea typeface="Arial Black"/>
                <a:cs typeface="Arial Black"/>
              </a:defRPr>
            </a:pPr>
            <a:r>
              <a:rPr lang="en-US"/>
              <a:t>Marina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 Black"/>
              <a:ea typeface="Arial Black"/>
              <a:cs typeface="Arial Black"/>
            </a:defRPr>
          </a:pPr>
          <a:endParaRPr lang="nb-NO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Data!$G$3:$G$22</c:f>
              <c:numCache>
                <c:formatCode>"kr"#,##0.00_);[Red]\("kr"#,##0.00\)</c:formatCode>
                <c:ptCount val="20"/>
                <c:pt idx="0">
                  <c:v>2280000</c:v>
                </c:pt>
                <c:pt idx="1">
                  <c:v>3185294.12</c:v>
                </c:pt>
                <c:pt idx="2">
                  <c:v>2533333.33</c:v>
                </c:pt>
                <c:pt idx="3">
                  <c:v>2826432.15</c:v>
                </c:pt>
                <c:pt idx="4">
                  <c:v>2887490.45</c:v>
                </c:pt>
                <c:pt idx="5">
                  <c:v>2879600.43</c:v>
                </c:pt>
                <c:pt idx="6">
                  <c:v>3448500</c:v>
                </c:pt>
                <c:pt idx="7">
                  <c:v>3047125</c:v>
                </c:pt>
                <c:pt idx="8">
                  <c:v>1528941.18</c:v>
                </c:pt>
                <c:pt idx="9">
                  <c:v>1748862.66</c:v>
                </c:pt>
                <c:pt idx="10">
                  <c:v>1510600.71</c:v>
                </c:pt>
                <c:pt idx="11">
                  <c:v>2783720.93</c:v>
                </c:pt>
                <c:pt idx="12">
                  <c:v>2651162.79</c:v>
                </c:pt>
                <c:pt idx="13">
                  <c:v>2419024.39</c:v>
                </c:pt>
                <c:pt idx="14">
                  <c:v>3096136.36</c:v>
                </c:pt>
                <c:pt idx="15">
                  <c:v>2518150.6800000002</c:v>
                </c:pt>
                <c:pt idx="16">
                  <c:v>2305147.06</c:v>
                </c:pt>
                <c:pt idx="17">
                  <c:v>3062686.57</c:v>
                </c:pt>
                <c:pt idx="18">
                  <c:v>3459160.31</c:v>
                </c:pt>
                <c:pt idx="19">
                  <c:v>2210487.7999999998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060-4778-9330-97607451AE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26340935"/>
        <c:axId val="85239495"/>
      </c:scatterChart>
      <c:valAx>
        <c:axId val="20263409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85239495"/>
        <c:crosses val="autoZero"/>
        <c:crossBetween val="midCat"/>
      </c:valAx>
      <c:valAx>
        <c:axId val="852394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kr&quot;#,##0.00_);[Red]\(&quot;kr&quot;#,##0.00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202634093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b-N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b-NO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b-N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 Black"/>
                <a:ea typeface="Arial Black"/>
                <a:cs typeface="Arial Black"/>
              </a:defRPr>
            </a:pPr>
            <a:r>
              <a:rPr lang="en-US"/>
              <a:t>Marina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 Black"/>
              <a:ea typeface="Arial Black"/>
              <a:cs typeface="Arial Black"/>
            </a:defRPr>
          </a:pPr>
          <a:endParaRPr lang="nb-NO"/>
        </a:p>
      </c:txPr>
    </c:title>
    <c:autoTitleDeleted val="0"/>
    <c:plotArea>
      <c:layout>
        <c:manualLayout>
          <c:layoutTarget val="inner"/>
          <c:xMode val="edge"/>
          <c:yMode val="edge"/>
          <c:x val="0.213498031496063"/>
          <c:y val="0.19483814523184603"/>
          <c:w val="0.77658311461067364"/>
          <c:h val="0.7209488918051910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Data!$G$2</c:f>
              <c:strCache>
                <c:ptCount val="1"/>
                <c:pt idx="0">
                  <c:v>Price NOK 60 Sq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Data!$G$3:$G$22</c:f>
              <c:numCache>
                <c:formatCode>"kr"#,##0.00_);[Red]\("kr"#,##0.00\)</c:formatCode>
                <c:ptCount val="20"/>
                <c:pt idx="0">
                  <c:v>2280000</c:v>
                </c:pt>
                <c:pt idx="1">
                  <c:v>3185294.12</c:v>
                </c:pt>
                <c:pt idx="2">
                  <c:v>2533333.33</c:v>
                </c:pt>
                <c:pt idx="3">
                  <c:v>2826432.15</c:v>
                </c:pt>
                <c:pt idx="4">
                  <c:v>2887490.45</c:v>
                </c:pt>
                <c:pt idx="5">
                  <c:v>2879600.43</c:v>
                </c:pt>
                <c:pt idx="6">
                  <c:v>3448500</c:v>
                </c:pt>
                <c:pt idx="7">
                  <c:v>3047125</c:v>
                </c:pt>
                <c:pt idx="8">
                  <c:v>1528941.18</c:v>
                </c:pt>
                <c:pt idx="9">
                  <c:v>1748862.66</c:v>
                </c:pt>
                <c:pt idx="10">
                  <c:v>1510600.71</c:v>
                </c:pt>
                <c:pt idx="11">
                  <c:v>2783720.93</c:v>
                </c:pt>
                <c:pt idx="12">
                  <c:v>2651162.79</c:v>
                </c:pt>
                <c:pt idx="13">
                  <c:v>2419024.39</c:v>
                </c:pt>
                <c:pt idx="14">
                  <c:v>3096136.36</c:v>
                </c:pt>
                <c:pt idx="15">
                  <c:v>2518150.6800000002</c:v>
                </c:pt>
                <c:pt idx="16">
                  <c:v>2305147.06</c:v>
                </c:pt>
                <c:pt idx="17">
                  <c:v>3062686.57</c:v>
                </c:pt>
                <c:pt idx="18">
                  <c:v>3459160.31</c:v>
                </c:pt>
                <c:pt idx="19">
                  <c:v>2210487.7999999998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2E-FB44-AB57-C458ADBC0B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76767136"/>
        <c:axId val="1972165408"/>
      </c:barChart>
      <c:catAx>
        <c:axId val="19767671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1972165408"/>
        <c:crosses val="autoZero"/>
        <c:auto val="1"/>
        <c:lblAlgn val="ctr"/>
        <c:lblOffset val="100"/>
        <c:noMultiLvlLbl val="0"/>
      </c:catAx>
      <c:valAx>
        <c:axId val="1972165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kr&quot;#,##0.00_);[Red]\(&quot;kr&quot;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19767671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b-NO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b-N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 Black"/>
                <a:ea typeface="Arial Black"/>
                <a:cs typeface="Arial Black"/>
              </a:defRPr>
            </a:pPr>
            <a:r>
              <a:rPr lang="en-US"/>
              <a:t>Downtown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 Black"/>
              <a:ea typeface="Arial Black"/>
              <a:cs typeface="Arial Black"/>
            </a:defRPr>
          </a:pPr>
          <a:endParaRPr lang="nb-N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Data!$G$29:$G$48</c:f>
              <c:numCache>
                <c:formatCode>_-"kr"\ * #\ ##0_-;\-"kr"\ * #\ ##0_-;_-"kr"\ * "-"??_-;_-@_-</c:formatCode>
                <c:ptCount val="20"/>
                <c:pt idx="0">
                  <c:v>3640404.8540145988</c:v>
                </c:pt>
                <c:pt idx="1">
                  <c:v>8300807.657550537</c:v>
                </c:pt>
                <c:pt idx="2">
                  <c:v>4158227.8481012667</c:v>
                </c:pt>
                <c:pt idx="3">
                  <c:v>5979517.8678970374</c:v>
                </c:pt>
                <c:pt idx="4">
                  <c:v>7776000</c:v>
                </c:pt>
                <c:pt idx="5">
                  <c:v>3309143.6865021773</c:v>
                </c:pt>
                <c:pt idx="6">
                  <c:v>4397142.8571428573</c:v>
                </c:pt>
                <c:pt idx="7">
                  <c:v>7094680.8510638298</c:v>
                </c:pt>
                <c:pt idx="8">
                  <c:v>9697710.7180020809</c:v>
                </c:pt>
                <c:pt idx="9">
                  <c:v>2047904.1916167664</c:v>
                </c:pt>
                <c:pt idx="10">
                  <c:v>5467177.1818517148</c:v>
                </c:pt>
                <c:pt idx="11">
                  <c:v>4793764.0449438207</c:v>
                </c:pt>
                <c:pt idx="12">
                  <c:v>2666972.4770642207</c:v>
                </c:pt>
                <c:pt idx="13">
                  <c:v>5368506.6535239033</c:v>
                </c:pt>
                <c:pt idx="14">
                  <c:v>5615763.5467980299</c:v>
                </c:pt>
                <c:pt idx="15">
                  <c:v>5358802.8169014091</c:v>
                </c:pt>
                <c:pt idx="16">
                  <c:v>3593541.7734495131</c:v>
                </c:pt>
                <c:pt idx="17">
                  <c:v>3190908.2727272729</c:v>
                </c:pt>
                <c:pt idx="18">
                  <c:v>4592255.1069767447</c:v>
                </c:pt>
                <c:pt idx="19">
                  <c:v>4143559.6521739131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D57-48E2-9679-A016312F55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66963239"/>
        <c:axId val="912281864"/>
      </c:barChart>
      <c:catAx>
        <c:axId val="206696323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912281864"/>
        <c:crosses val="autoZero"/>
        <c:auto val="1"/>
        <c:lblAlgn val="ctr"/>
        <c:lblOffset val="100"/>
        <c:noMultiLvlLbl val="0"/>
      </c:catAx>
      <c:valAx>
        <c:axId val="912281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&quot;kr&quot;\ * #\ ##0_-;\-&quot;kr&quot;\ * #\ ##0_-;_-&quot;kr&quot;\ 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20669632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b-N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b-N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238125</xdr:colOff>
      <xdr:row>27</xdr:row>
      <xdr:rowOff>114300</xdr:rowOff>
    </xdr:from>
    <xdr:to>
      <xdr:col>15</xdr:col>
      <xdr:colOff>200025</xdr:colOff>
      <xdr:row>41</xdr:row>
      <xdr:rowOff>19050</xdr:rowOff>
    </xdr:to>
    <xdr:graphicFrame macro="">
      <xdr:nvGraphicFramePr>
        <xdr:cNvPr id="3" name="Diagram 1">
          <a:extLst>
            <a:ext uri="{FF2B5EF4-FFF2-40B4-BE49-F238E27FC236}">
              <a16:creationId xmlns:a16="http://schemas.microsoft.com/office/drawing/2014/main" id="{0C93F04A-B27F-E4CF-5FF5-D90B2D4F56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142875</xdr:colOff>
      <xdr:row>0</xdr:row>
      <xdr:rowOff>104775</xdr:rowOff>
    </xdr:from>
    <xdr:to>
      <xdr:col>15</xdr:col>
      <xdr:colOff>171450</xdr:colOff>
      <xdr:row>12</xdr:row>
      <xdr:rowOff>19050</xdr:rowOff>
    </xdr:to>
    <xdr:graphicFrame macro="">
      <xdr:nvGraphicFramePr>
        <xdr:cNvPr id="7" name="Diagram 3">
          <a:extLst>
            <a:ext uri="{FF2B5EF4-FFF2-40B4-BE49-F238E27FC236}">
              <a16:creationId xmlns:a16="http://schemas.microsoft.com/office/drawing/2014/main" id="{FABE7C81-0FED-E4DA-FB95-ABA0B99E3C74}"/>
            </a:ext>
            <a:ext uri="{147F2762-F138-4A5C-976F-8EAC2B608ADB}">
              <a16:predDERef xmlns:a16="http://schemas.microsoft.com/office/drawing/2014/main" pred="{0C93F04A-B27F-E4CF-5FF5-D90B2D4F56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152400</xdr:colOff>
      <xdr:row>12</xdr:row>
      <xdr:rowOff>123825</xdr:rowOff>
    </xdr:from>
    <xdr:to>
      <xdr:col>15</xdr:col>
      <xdr:colOff>123825</xdr:colOff>
      <xdr:row>26</xdr:row>
      <xdr:rowOff>104775</xdr:rowOff>
    </xdr:to>
    <xdr:graphicFrame macro="">
      <xdr:nvGraphicFramePr>
        <xdr:cNvPr id="6" name="Diagram 5">
          <a:extLst>
            <a:ext uri="{FF2B5EF4-FFF2-40B4-BE49-F238E27FC236}">
              <a16:creationId xmlns:a16="http://schemas.microsoft.com/office/drawing/2014/main" id="{F73602A7-4540-124C-BBBE-552D80A7CAC4}"/>
            </a:ext>
            <a:ext uri="{147F2762-F138-4A5C-976F-8EAC2B608ADB}">
              <a16:predDERef xmlns:a16="http://schemas.microsoft.com/office/drawing/2014/main" pred="{FABE7C81-0FED-E4DA-FB95-ABA0B99E3C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200025</xdr:colOff>
      <xdr:row>41</xdr:row>
      <xdr:rowOff>142875</xdr:rowOff>
    </xdr:from>
    <xdr:to>
      <xdr:col>15</xdr:col>
      <xdr:colOff>409575</xdr:colOff>
      <xdr:row>55</xdr:row>
      <xdr:rowOff>85725</xdr:rowOff>
    </xdr:to>
    <xdr:graphicFrame macro="">
      <xdr:nvGraphicFramePr>
        <xdr:cNvPr id="2" name="Diagram 1">
          <a:extLst>
            <a:ext uri="{FF2B5EF4-FFF2-40B4-BE49-F238E27FC236}">
              <a16:creationId xmlns:a16="http://schemas.microsoft.com/office/drawing/2014/main" id="{6731F119-FE61-BC35-44B9-E00FC450C573}"/>
            </a:ext>
            <a:ext uri="{147F2762-F138-4A5C-976F-8EAC2B608ADB}">
              <a16:predDERef xmlns:a16="http://schemas.microsoft.com/office/drawing/2014/main" pred="{F73602A7-4540-124C-BBBE-552D80A7CAC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833120</xdr:colOff>
      <xdr:row>7</xdr:row>
      <xdr:rowOff>71120</xdr:rowOff>
    </xdr:from>
    <xdr:ext cx="965200" cy="2230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kstSylinder 1">
              <a:extLst>
                <a:ext uri="{FF2B5EF4-FFF2-40B4-BE49-F238E27FC236}">
                  <a16:creationId xmlns:a16="http://schemas.microsoft.com/office/drawing/2014/main" id="{92522F5D-6175-F34F-9DEE-C4A846889112}"/>
                </a:ext>
              </a:extLst>
            </xdr:cNvPr>
            <xdr:cNvSpPr txBox="1"/>
          </xdr:nvSpPr>
          <xdr:spPr>
            <a:xfrm>
              <a:off x="10942320" y="1524000"/>
              <a:ext cx="965200" cy="2230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nb-NO" sz="20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↑</m:t>
                    </m:r>
                  </m:oMath>
                </m:oMathPara>
              </a14:m>
              <a:endParaRPr lang="nb-NO" sz="1100" b="1"/>
            </a:p>
          </xdr:txBody>
        </xdr:sp>
      </mc:Choice>
      <mc:Fallback xmlns="">
        <xdr:sp macro="" textlink="">
          <xdr:nvSpPr>
            <xdr:cNvPr id="2" name="TekstSylinder 1">
              <a:extLst>
                <a:ext uri="{FF2B5EF4-FFF2-40B4-BE49-F238E27FC236}">
                  <a16:creationId xmlns:a16="http://schemas.microsoft.com/office/drawing/2014/main" id="{92522F5D-6175-F34F-9DEE-C4A846889112}"/>
                </a:ext>
              </a:extLst>
            </xdr:cNvPr>
            <xdr:cNvSpPr txBox="1"/>
          </xdr:nvSpPr>
          <xdr:spPr>
            <a:xfrm>
              <a:off x="10942320" y="1524000"/>
              <a:ext cx="965200" cy="2230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r>
                <a:rPr lang="nb-NO" sz="20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↑</a:t>
              </a:r>
              <a:endParaRPr lang="nb-NO" sz="1100" b="1"/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Office 2013 – 2022-tema">
  <a:themeElements>
    <a:clrScheme name="Office 2013–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–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–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4B855D-6A4C-BB45-A14A-08B61C4295B9}">
  <dimension ref="A1:Q299"/>
  <sheetViews>
    <sheetView tabSelected="1" zoomScale="55" workbookViewId="0">
      <selection activeCell="K35" sqref="K35"/>
    </sheetView>
  </sheetViews>
  <sheetFormatPr baseColWidth="10" defaultColWidth="11" defaultRowHeight="15.6" x14ac:dyDescent="0.3"/>
  <cols>
    <col min="1" max="1" width="23.19921875" customWidth="1"/>
    <col min="2" max="2" width="24.19921875" customWidth="1"/>
    <col min="3" max="3" width="20.69921875" customWidth="1"/>
    <col min="4" max="4" width="18.5" customWidth="1"/>
    <col min="5" max="5" width="19.296875" customWidth="1"/>
    <col min="6" max="6" width="17" bestFit="1" customWidth="1"/>
    <col min="7" max="7" width="17.19921875" bestFit="1" customWidth="1"/>
    <col min="9" max="9" width="21.296875" bestFit="1" customWidth="1"/>
    <col min="10" max="10" width="22.296875" bestFit="1" customWidth="1"/>
    <col min="11" max="11" width="12.69921875" bestFit="1" customWidth="1"/>
  </cols>
  <sheetData>
    <row r="1" spans="1:17" ht="16.2" thickBot="1" x14ac:dyDescent="0.35">
      <c r="A1" s="3"/>
      <c r="B1" s="3"/>
      <c r="C1" s="3"/>
      <c r="D1" s="3"/>
      <c r="E1" s="3"/>
      <c r="F1" s="3"/>
      <c r="G1" s="3"/>
      <c r="H1" s="3"/>
      <c r="I1" s="3"/>
      <c r="J1" s="3"/>
      <c r="K1" s="3"/>
    </row>
    <row r="2" spans="1:17" ht="16.2" thickBot="1" x14ac:dyDescent="0.35">
      <c r="A2" s="29" t="s">
        <v>0</v>
      </c>
      <c r="B2" s="30" t="s">
        <v>1</v>
      </c>
      <c r="C2" s="31" t="s">
        <v>2</v>
      </c>
      <c r="D2" s="30" t="s">
        <v>3</v>
      </c>
      <c r="E2" s="30" t="s">
        <v>4</v>
      </c>
      <c r="F2" s="30" t="s">
        <v>5</v>
      </c>
      <c r="G2" s="32" t="s">
        <v>6</v>
      </c>
      <c r="H2" s="3"/>
      <c r="I2" s="229" t="s">
        <v>7</v>
      </c>
      <c r="J2" s="230"/>
      <c r="K2" s="3"/>
    </row>
    <row r="3" spans="1:17" x14ac:dyDescent="0.3">
      <c r="A3" s="63">
        <v>1</v>
      </c>
      <c r="B3" s="3" t="s">
        <v>8</v>
      </c>
      <c r="C3" s="49">
        <v>90</v>
      </c>
      <c r="D3" s="49" t="s">
        <v>9</v>
      </c>
      <c r="E3" s="3" t="s">
        <v>10</v>
      </c>
      <c r="F3" s="56">
        <v>38000</v>
      </c>
      <c r="G3" s="57">
        <v>2280000</v>
      </c>
      <c r="H3" s="3"/>
      <c r="I3" s="33"/>
      <c r="J3" s="34"/>
      <c r="K3" s="3"/>
    </row>
    <row r="4" spans="1:17" x14ac:dyDescent="0.3">
      <c r="A4" s="63">
        <v>2</v>
      </c>
      <c r="B4" s="3" t="s">
        <v>11</v>
      </c>
      <c r="C4" s="49">
        <v>204</v>
      </c>
      <c r="D4" s="49" t="s">
        <v>12</v>
      </c>
      <c r="E4" s="3" t="s">
        <v>13</v>
      </c>
      <c r="F4" s="56">
        <v>53088.24</v>
      </c>
      <c r="G4" s="57">
        <v>3185294.12</v>
      </c>
      <c r="H4" s="3"/>
      <c r="I4" s="33" t="s">
        <v>14</v>
      </c>
      <c r="J4" s="180">
        <v>2619092.8459999999</v>
      </c>
      <c r="K4" s="3"/>
    </row>
    <row r="5" spans="1:17" x14ac:dyDescent="0.3">
      <c r="A5" s="63">
        <v>3</v>
      </c>
      <c r="B5" s="3" t="s">
        <v>15</v>
      </c>
      <c r="C5" s="49">
        <v>108</v>
      </c>
      <c r="D5" s="49" t="s">
        <v>16</v>
      </c>
      <c r="E5" s="3" t="s">
        <v>17</v>
      </c>
      <c r="F5" s="56">
        <v>42222.22</v>
      </c>
      <c r="G5" s="57">
        <v>2533333.33</v>
      </c>
      <c r="H5" s="3"/>
      <c r="I5" s="33" t="s">
        <v>18</v>
      </c>
      <c r="J5" s="181">
        <v>127169.1194</v>
      </c>
      <c r="K5" s="3"/>
    </row>
    <row r="6" spans="1:17" x14ac:dyDescent="0.3">
      <c r="A6" s="63">
        <v>4</v>
      </c>
      <c r="B6" s="3" t="s">
        <v>19</v>
      </c>
      <c r="C6" s="49">
        <v>121</v>
      </c>
      <c r="D6" s="49" t="s">
        <v>20</v>
      </c>
      <c r="E6" s="3" t="s">
        <v>21</v>
      </c>
      <c r="F6" s="56">
        <v>47107.199999999997</v>
      </c>
      <c r="G6" s="57">
        <v>2826432.15</v>
      </c>
      <c r="H6" s="3"/>
      <c r="I6" s="33" t="s">
        <v>22</v>
      </c>
      <c r="J6" s="181">
        <v>2717441.86</v>
      </c>
      <c r="K6" s="3"/>
    </row>
    <row r="7" spans="1:17" x14ac:dyDescent="0.3">
      <c r="A7" s="63">
        <v>5</v>
      </c>
      <c r="B7" s="3" t="s">
        <v>23</v>
      </c>
      <c r="C7" s="49">
        <v>121</v>
      </c>
      <c r="D7" s="49" t="s">
        <v>16</v>
      </c>
      <c r="E7" s="3" t="s">
        <v>24</v>
      </c>
      <c r="F7" s="56">
        <v>48124.84</v>
      </c>
      <c r="G7" s="57">
        <v>2887490.45</v>
      </c>
      <c r="H7" s="3"/>
      <c r="I7" s="33" t="s">
        <v>25</v>
      </c>
      <c r="J7" s="177" t="s">
        <v>26</v>
      </c>
      <c r="K7" s="3"/>
    </row>
    <row r="8" spans="1:17" x14ac:dyDescent="0.3">
      <c r="A8" s="63">
        <v>6</v>
      </c>
      <c r="B8" s="3" t="s">
        <v>27</v>
      </c>
      <c r="C8" s="49">
        <v>121</v>
      </c>
      <c r="D8" s="49" t="s">
        <v>28</v>
      </c>
      <c r="E8" s="3" t="s">
        <v>29</v>
      </c>
      <c r="F8" s="56">
        <v>47993.34</v>
      </c>
      <c r="G8" s="57">
        <v>2879600.43</v>
      </c>
      <c r="H8" s="3"/>
      <c r="I8" s="33" t="s">
        <v>30</v>
      </c>
      <c r="J8" s="181">
        <v>568717.59140000003</v>
      </c>
      <c r="K8" s="3"/>
    </row>
    <row r="9" spans="1:17" x14ac:dyDescent="0.3">
      <c r="A9" s="63">
        <v>7</v>
      </c>
      <c r="B9" s="3" t="s">
        <v>31</v>
      </c>
      <c r="C9" s="49">
        <v>120</v>
      </c>
      <c r="D9" s="49" t="s">
        <v>9</v>
      </c>
      <c r="E9" s="3" t="s">
        <v>32</v>
      </c>
      <c r="F9" s="56">
        <v>57475</v>
      </c>
      <c r="G9" s="57">
        <v>3448500</v>
      </c>
      <c r="H9" s="3"/>
      <c r="I9" s="33" t="s">
        <v>33</v>
      </c>
      <c r="J9" s="181">
        <v>323440000000</v>
      </c>
      <c r="K9" s="3"/>
    </row>
    <row r="10" spans="1:17" x14ac:dyDescent="0.3">
      <c r="A10" s="63">
        <v>8</v>
      </c>
      <c r="B10" s="3" t="s">
        <v>34</v>
      </c>
      <c r="C10" s="49">
        <v>72</v>
      </c>
      <c r="D10" s="49" t="s">
        <v>16</v>
      </c>
      <c r="E10" s="3" t="s">
        <v>35</v>
      </c>
      <c r="F10" s="56">
        <v>50785.42</v>
      </c>
      <c r="G10" s="57">
        <v>3047125</v>
      </c>
      <c r="H10" s="3"/>
      <c r="I10" s="33" t="s">
        <v>36</v>
      </c>
      <c r="J10" s="178">
        <v>-0.25310465599999998</v>
      </c>
      <c r="K10" s="3"/>
    </row>
    <row r="11" spans="1:17" x14ac:dyDescent="0.3">
      <c r="A11" s="63">
        <v>9</v>
      </c>
      <c r="B11" s="3" t="s">
        <v>37</v>
      </c>
      <c r="C11" s="49">
        <v>255</v>
      </c>
      <c r="D11" s="49" t="s">
        <v>28</v>
      </c>
      <c r="E11" s="3" t="s">
        <v>38</v>
      </c>
      <c r="F11" s="56">
        <v>25482.35</v>
      </c>
      <c r="G11" s="57">
        <v>1528941.18</v>
      </c>
      <c r="H11" s="3"/>
      <c r="I11" s="33" t="s">
        <v>39</v>
      </c>
      <c r="J11" s="178">
        <v>-0.57061831299999999</v>
      </c>
      <c r="K11" s="3"/>
      <c r="L11" s="2"/>
      <c r="M11" s="2"/>
      <c r="N11" s="2"/>
    </row>
    <row r="12" spans="1:17" x14ac:dyDescent="0.3">
      <c r="A12" s="63">
        <v>10</v>
      </c>
      <c r="B12" s="3" t="s">
        <v>40</v>
      </c>
      <c r="C12" s="49">
        <v>176</v>
      </c>
      <c r="D12" s="49" t="s">
        <v>41</v>
      </c>
      <c r="E12" s="3" t="s">
        <v>42</v>
      </c>
      <c r="F12" s="56">
        <v>29147.71</v>
      </c>
      <c r="G12" s="57">
        <v>1748862.66</v>
      </c>
      <c r="H12" s="3"/>
      <c r="I12" s="33" t="s">
        <v>43</v>
      </c>
      <c r="J12" s="181">
        <v>1948559.5989999999</v>
      </c>
      <c r="K12" s="3"/>
    </row>
    <row r="13" spans="1:17" x14ac:dyDescent="0.3">
      <c r="A13" s="63">
        <v>11</v>
      </c>
      <c r="B13" s="3" t="s">
        <v>44</v>
      </c>
      <c r="C13" s="49">
        <v>113.2</v>
      </c>
      <c r="D13" s="49" t="s">
        <v>16</v>
      </c>
      <c r="E13" s="3" t="s">
        <v>45</v>
      </c>
      <c r="F13" s="56">
        <v>25176.68</v>
      </c>
      <c r="G13" s="57">
        <v>1510600.71</v>
      </c>
      <c r="H13" s="3"/>
      <c r="I13" s="33" t="s">
        <v>46</v>
      </c>
      <c r="J13" s="181">
        <v>1510600.7069999999</v>
      </c>
      <c r="K13" s="3"/>
    </row>
    <row r="14" spans="1:17" x14ac:dyDescent="0.3">
      <c r="A14" s="63">
        <v>12</v>
      </c>
      <c r="B14" s="3" t="s">
        <v>47</v>
      </c>
      <c r="C14" s="49">
        <v>129</v>
      </c>
      <c r="D14" s="49" t="s">
        <v>48</v>
      </c>
      <c r="E14" s="3" t="s">
        <v>49</v>
      </c>
      <c r="F14" s="56">
        <v>46395.35</v>
      </c>
      <c r="G14" s="57">
        <v>2783720.93</v>
      </c>
      <c r="H14" s="3"/>
      <c r="I14" s="33" t="s">
        <v>50</v>
      </c>
      <c r="J14" s="181">
        <v>3459160.3050000002</v>
      </c>
      <c r="K14" s="3"/>
    </row>
    <row r="15" spans="1:17" x14ac:dyDescent="0.3">
      <c r="A15" s="63">
        <v>13</v>
      </c>
      <c r="B15" s="3" t="s">
        <v>51</v>
      </c>
      <c r="C15" s="49">
        <v>129</v>
      </c>
      <c r="D15" s="49" t="s">
        <v>52</v>
      </c>
      <c r="E15" s="3" t="s">
        <v>53</v>
      </c>
      <c r="F15" s="56">
        <v>44186.05</v>
      </c>
      <c r="G15" s="57">
        <v>2651162.79</v>
      </c>
      <c r="H15" s="3"/>
      <c r="I15" s="33" t="s">
        <v>54</v>
      </c>
      <c r="J15" s="181">
        <v>52381856.93</v>
      </c>
      <c r="K15" s="3"/>
    </row>
    <row r="16" spans="1:17" x14ac:dyDescent="0.3">
      <c r="A16" s="63">
        <v>14</v>
      </c>
      <c r="B16" s="3" t="s">
        <v>55</v>
      </c>
      <c r="C16" s="49">
        <v>205</v>
      </c>
      <c r="D16" s="49" t="s">
        <v>56</v>
      </c>
      <c r="E16" s="3" t="s">
        <v>57</v>
      </c>
      <c r="F16" s="56">
        <v>40317.07</v>
      </c>
      <c r="G16" s="57">
        <v>2419024.39</v>
      </c>
      <c r="H16" s="3"/>
      <c r="I16" s="33" t="s">
        <v>58</v>
      </c>
      <c r="J16" s="179">
        <v>20</v>
      </c>
      <c r="K16" s="4"/>
      <c r="L16" s="2"/>
      <c r="M16" s="2"/>
      <c r="N16" s="2"/>
      <c r="O16" s="2"/>
      <c r="P16" s="2"/>
      <c r="Q16" s="2"/>
    </row>
    <row r="17" spans="1:11" x14ac:dyDescent="0.3">
      <c r="A17" s="63">
        <v>15</v>
      </c>
      <c r="B17" s="3" t="s">
        <v>59</v>
      </c>
      <c r="C17" s="49">
        <v>66</v>
      </c>
      <c r="D17" s="49" t="s">
        <v>60</v>
      </c>
      <c r="E17" s="3" t="s">
        <v>61</v>
      </c>
      <c r="F17" s="56">
        <v>51602.27</v>
      </c>
      <c r="G17" s="57">
        <v>3096136.36</v>
      </c>
      <c r="H17" s="3"/>
      <c r="I17" s="35" t="s">
        <v>62</v>
      </c>
      <c r="J17" s="182">
        <v>266168.02600000001</v>
      </c>
      <c r="K17" s="3"/>
    </row>
    <row r="18" spans="1:11" x14ac:dyDescent="0.3">
      <c r="A18" s="63">
        <v>16</v>
      </c>
      <c r="B18" s="3" t="s">
        <v>63</v>
      </c>
      <c r="C18" s="49">
        <v>146</v>
      </c>
      <c r="D18" s="49" t="s">
        <v>52</v>
      </c>
      <c r="E18" s="3" t="s">
        <v>64</v>
      </c>
      <c r="F18" s="56">
        <v>41969.18</v>
      </c>
      <c r="G18" s="57">
        <v>2518150.6800000002</v>
      </c>
      <c r="H18" s="3"/>
      <c r="I18" s="3"/>
      <c r="J18" s="3"/>
      <c r="K18" s="3"/>
    </row>
    <row r="19" spans="1:11" x14ac:dyDescent="0.3">
      <c r="A19" s="63">
        <v>17</v>
      </c>
      <c r="B19" s="3" t="s">
        <v>65</v>
      </c>
      <c r="C19" s="49">
        <v>204</v>
      </c>
      <c r="D19" s="49" t="s">
        <v>66</v>
      </c>
      <c r="E19" s="3" t="s">
        <v>67</v>
      </c>
      <c r="F19" s="56">
        <v>38419.120000000003</v>
      </c>
      <c r="G19" s="57">
        <v>2305147.06</v>
      </c>
      <c r="H19" s="3"/>
      <c r="I19" s="3"/>
      <c r="J19" s="3"/>
      <c r="K19" s="3"/>
    </row>
    <row r="20" spans="1:11" x14ac:dyDescent="0.3">
      <c r="A20" s="63">
        <v>18</v>
      </c>
      <c r="B20" s="3" t="s">
        <v>8</v>
      </c>
      <c r="C20" s="49">
        <v>67</v>
      </c>
      <c r="D20" s="49" t="s">
        <v>60</v>
      </c>
      <c r="E20" s="3" t="s">
        <v>68</v>
      </c>
      <c r="F20" s="56">
        <v>51044.78</v>
      </c>
      <c r="G20" s="57">
        <v>3062686.57</v>
      </c>
      <c r="H20" s="3"/>
      <c r="I20" s="3"/>
      <c r="J20" s="3"/>
      <c r="K20" s="3"/>
    </row>
    <row r="21" spans="1:11" x14ac:dyDescent="0.3">
      <c r="A21" s="63">
        <v>19</v>
      </c>
      <c r="B21" s="3" t="s">
        <v>69</v>
      </c>
      <c r="C21" s="49">
        <v>131</v>
      </c>
      <c r="D21" s="49" t="s">
        <v>28</v>
      </c>
      <c r="E21" s="3" t="s">
        <v>70</v>
      </c>
      <c r="F21" s="56">
        <v>57652.67</v>
      </c>
      <c r="G21" s="57">
        <v>3459160.31</v>
      </c>
      <c r="H21" s="3"/>
      <c r="I21" s="4"/>
      <c r="J21" s="4"/>
      <c r="K21" s="4"/>
    </row>
    <row r="22" spans="1:11" x14ac:dyDescent="0.3">
      <c r="A22" s="64">
        <v>20</v>
      </c>
      <c r="B22" s="5" t="s">
        <v>69</v>
      </c>
      <c r="C22" s="50">
        <v>205</v>
      </c>
      <c r="D22" s="50" t="s">
        <v>56</v>
      </c>
      <c r="E22" s="5" t="s">
        <v>71</v>
      </c>
      <c r="F22" s="58">
        <v>36841.46</v>
      </c>
      <c r="G22" s="59">
        <v>2210487.7999999998</v>
      </c>
      <c r="H22" s="3"/>
      <c r="I22" s="3"/>
      <c r="J22" s="3"/>
      <c r="K22" s="3"/>
    </row>
    <row r="25" spans="1:11" x14ac:dyDescent="0.3">
      <c r="A25" s="3"/>
      <c r="B25" s="3"/>
      <c r="C25" s="3"/>
      <c r="D25" s="3"/>
      <c r="E25" s="3"/>
      <c r="F25" s="3"/>
      <c r="G25" s="3"/>
      <c r="H25" s="3"/>
    </row>
    <row r="28" spans="1:11" x14ac:dyDescent="0.3">
      <c r="A28" s="42" t="s">
        <v>72</v>
      </c>
      <c r="B28" s="43" t="s">
        <v>1</v>
      </c>
      <c r="C28" s="44" t="s">
        <v>2</v>
      </c>
      <c r="D28" s="43" t="s">
        <v>73</v>
      </c>
      <c r="E28" s="45" t="s">
        <v>4</v>
      </c>
      <c r="F28" s="43" t="s">
        <v>5</v>
      </c>
      <c r="G28" s="46" t="s">
        <v>6</v>
      </c>
      <c r="I28" s="231" t="s">
        <v>74</v>
      </c>
      <c r="J28" s="232"/>
    </row>
    <row r="29" spans="1:11" x14ac:dyDescent="0.3">
      <c r="A29" s="54">
        <v>1</v>
      </c>
      <c r="B29" s="47">
        <v>3499898</v>
      </c>
      <c r="C29" s="51">
        <v>164.4</v>
      </c>
      <c r="D29" s="49" t="s">
        <v>28</v>
      </c>
      <c r="E29" s="47">
        <f t="shared" ref="E29:E48" si="0">B29/C29</f>
        <v>21288.917274939173</v>
      </c>
      <c r="F29" s="1">
        <f t="shared" ref="F29:F48" si="1">E29*2.85</f>
        <v>60673.414233576645</v>
      </c>
      <c r="G29" s="60">
        <f>F29*60</f>
        <v>3640404.8540145988</v>
      </c>
      <c r="I29" s="27"/>
      <c r="J29" s="28"/>
    </row>
    <row r="30" spans="1:11" x14ac:dyDescent="0.3">
      <c r="A30" s="54">
        <f t="shared" ref="A30:A48" si="2">A29+1</f>
        <v>2</v>
      </c>
      <c r="B30" s="47">
        <v>8164888</v>
      </c>
      <c r="C30" s="51">
        <v>168.2</v>
      </c>
      <c r="D30" s="49" t="s">
        <v>41</v>
      </c>
      <c r="E30" s="47">
        <f t="shared" si="0"/>
        <v>48542.73483947682</v>
      </c>
      <c r="F30" s="1">
        <f t="shared" si="1"/>
        <v>138346.79429250894</v>
      </c>
      <c r="G30" s="60">
        <f t="shared" ref="G30:G48" si="3">F30*60</f>
        <v>8300807.657550537</v>
      </c>
      <c r="I30" s="33" t="s">
        <v>14</v>
      </c>
      <c r="J30" s="183">
        <v>5059639.6029150803</v>
      </c>
    </row>
    <row r="31" spans="1:11" x14ac:dyDescent="0.3">
      <c r="A31" s="54">
        <f t="shared" si="2"/>
        <v>3</v>
      </c>
      <c r="B31" s="47">
        <v>3650000</v>
      </c>
      <c r="C31" s="51">
        <v>150.1</v>
      </c>
      <c r="D31" s="49" t="s">
        <v>16</v>
      </c>
      <c r="E31" s="47">
        <f t="shared" si="0"/>
        <v>24317.121918720855</v>
      </c>
      <c r="F31" s="1">
        <f t="shared" si="1"/>
        <v>69303.797468354445</v>
      </c>
      <c r="G31" s="60">
        <f t="shared" si="3"/>
        <v>4158227.8481012667</v>
      </c>
      <c r="I31" s="33" t="s">
        <v>18</v>
      </c>
      <c r="J31" s="184">
        <v>438113.68869609892</v>
      </c>
    </row>
    <row r="32" spans="1:11" x14ac:dyDescent="0.3">
      <c r="A32" s="54">
        <f t="shared" si="2"/>
        <v>4</v>
      </c>
      <c r="B32" s="47">
        <v>7199899</v>
      </c>
      <c r="C32" s="51">
        <v>205.9</v>
      </c>
      <c r="D32" s="49" t="s">
        <v>48</v>
      </c>
      <c r="E32" s="47">
        <f t="shared" si="0"/>
        <v>34967.940747935892</v>
      </c>
      <c r="F32" s="1">
        <f t="shared" si="1"/>
        <v>99658.631131617294</v>
      </c>
      <c r="G32" s="60">
        <f t="shared" si="3"/>
        <v>5979517.8678970374</v>
      </c>
      <c r="I32" s="33" t="s">
        <v>22</v>
      </c>
      <c r="J32" s="184">
        <v>4693009.5759602822</v>
      </c>
    </row>
    <row r="33" spans="1:10" x14ac:dyDescent="0.3">
      <c r="A33" s="54">
        <f t="shared" si="2"/>
        <v>5</v>
      </c>
      <c r="B33" s="47">
        <v>8640000</v>
      </c>
      <c r="C33" s="51">
        <v>190</v>
      </c>
      <c r="D33" s="49" t="s">
        <v>52</v>
      </c>
      <c r="E33" s="47">
        <f t="shared" si="0"/>
        <v>45473.684210526313</v>
      </c>
      <c r="F33" s="1">
        <f t="shared" si="1"/>
        <v>129600</v>
      </c>
      <c r="G33" s="60">
        <f t="shared" si="3"/>
        <v>7776000</v>
      </c>
      <c r="I33" s="33" t="s">
        <v>25</v>
      </c>
      <c r="J33" s="177" t="s">
        <v>26</v>
      </c>
    </row>
    <row r="34" spans="1:10" x14ac:dyDescent="0.3">
      <c r="A34" s="54">
        <f t="shared" si="2"/>
        <v>6</v>
      </c>
      <c r="B34" s="47">
        <v>4000000</v>
      </c>
      <c r="C34" s="51">
        <v>206.7</v>
      </c>
      <c r="D34" s="49" t="s">
        <v>56</v>
      </c>
      <c r="E34" s="47">
        <f t="shared" si="0"/>
        <v>19351.717464925012</v>
      </c>
      <c r="F34" s="1">
        <f t="shared" si="1"/>
        <v>55152.394775036286</v>
      </c>
      <c r="G34" s="60">
        <f t="shared" si="3"/>
        <v>3309143.6865021773</v>
      </c>
      <c r="I34" s="33" t="s">
        <v>30</v>
      </c>
      <c r="J34" s="184">
        <v>1959303.9795953168</v>
      </c>
    </row>
    <row r="35" spans="1:10" x14ac:dyDescent="0.3">
      <c r="A35" s="54">
        <f t="shared" si="2"/>
        <v>7</v>
      </c>
      <c r="B35" s="47">
        <v>3600000</v>
      </c>
      <c r="C35" s="51">
        <v>140</v>
      </c>
      <c r="D35" s="49" t="s">
        <v>60</v>
      </c>
      <c r="E35" s="47">
        <f t="shared" si="0"/>
        <v>25714.285714285714</v>
      </c>
      <c r="F35" s="1">
        <f t="shared" si="1"/>
        <v>73285.71428571429</v>
      </c>
      <c r="G35" s="60">
        <f t="shared" si="3"/>
        <v>4397142.8571428573</v>
      </c>
      <c r="I35" s="33" t="s">
        <v>33</v>
      </c>
      <c r="J35" s="184">
        <v>3838872084458.0459</v>
      </c>
    </row>
    <row r="36" spans="1:10" x14ac:dyDescent="0.3">
      <c r="A36" s="54">
        <f t="shared" si="2"/>
        <v>8</v>
      </c>
      <c r="B36" s="47">
        <v>7800000</v>
      </c>
      <c r="C36" s="51">
        <v>188</v>
      </c>
      <c r="D36" s="49" t="s">
        <v>52</v>
      </c>
      <c r="E36" s="47">
        <f t="shared" si="0"/>
        <v>41489.361702127659</v>
      </c>
      <c r="F36" s="1">
        <f t="shared" si="1"/>
        <v>118244.68085106384</v>
      </c>
      <c r="G36" s="60">
        <f t="shared" si="3"/>
        <v>7094680.8510638298</v>
      </c>
      <c r="I36" s="33" t="s">
        <v>36</v>
      </c>
      <c r="J36" s="185">
        <v>0.34548452930116991</v>
      </c>
    </row>
    <row r="37" spans="1:10" x14ac:dyDescent="0.3">
      <c r="A37" s="54">
        <f t="shared" si="2"/>
        <v>9</v>
      </c>
      <c r="B37" s="47">
        <v>10900000</v>
      </c>
      <c r="C37" s="51">
        <v>192.2</v>
      </c>
      <c r="D37" s="49" t="s">
        <v>66</v>
      </c>
      <c r="E37" s="47">
        <f t="shared" si="0"/>
        <v>56711.758584807496</v>
      </c>
      <c r="F37" s="1">
        <f t="shared" si="1"/>
        <v>161628.51196670136</v>
      </c>
      <c r="G37" s="60">
        <f t="shared" si="3"/>
        <v>9697710.7180020809</v>
      </c>
      <c r="I37" s="33" t="s">
        <v>39</v>
      </c>
      <c r="J37" s="185">
        <v>0.79723379996289034</v>
      </c>
    </row>
    <row r="38" spans="1:10" x14ac:dyDescent="0.3">
      <c r="A38" s="54">
        <f t="shared" si="2"/>
        <v>10</v>
      </c>
      <c r="B38" s="47">
        <v>2400000</v>
      </c>
      <c r="C38" s="51">
        <v>200.4</v>
      </c>
      <c r="D38" s="49" t="s">
        <v>60</v>
      </c>
      <c r="E38" s="47">
        <f t="shared" si="0"/>
        <v>11976.047904191617</v>
      </c>
      <c r="F38" s="1">
        <f t="shared" si="1"/>
        <v>34131.736526946108</v>
      </c>
      <c r="G38" s="60">
        <f t="shared" si="3"/>
        <v>2047904.1916167664</v>
      </c>
      <c r="I38" s="33" t="s">
        <v>43</v>
      </c>
      <c r="J38" s="184">
        <v>7649806.5263853148</v>
      </c>
    </row>
    <row r="39" spans="1:10" x14ac:dyDescent="0.3">
      <c r="A39" s="54">
        <f t="shared" si="2"/>
        <v>11</v>
      </c>
      <c r="B39" s="47">
        <v>4333777</v>
      </c>
      <c r="C39" s="51">
        <v>135.55000000000001</v>
      </c>
      <c r="D39" s="49" t="s">
        <v>28</v>
      </c>
      <c r="E39" s="47">
        <f t="shared" si="0"/>
        <v>31971.796385097747</v>
      </c>
      <c r="F39" s="1">
        <f t="shared" si="1"/>
        <v>91119.619697528586</v>
      </c>
      <c r="G39" s="60">
        <f t="shared" si="3"/>
        <v>5467177.1818517148</v>
      </c>
      <c r="I39" s="33" t="s">
        <v>46</v>
      </c>
      <c r="J39" s="184">
        <v>2047904.1916167664</v>
      </c>
    </row>
    <row r="40" spans="1:10" x14ac:dyDescent="0.3">
      <c r="A40" s="54">
        <f t="shared" si="2"/>
        <v>12</v>
      </c>
      <c r="B40" s="47">
        <v>4990000</v>
      </c>
      <c r="C40" s="51">
        <v>178</v>
      </c>
      <c r="D40" s="49" t="s">
        <v>56</v>
      </c>
      <c r="E40" s="47">
        <f t="shared" si="0"/>
        <v>28033.707865168541</v>
      </c>
      <c r="F40" s="1">
        <f t="shared" si="1"/>
        <v>79896.067415730344</v>
      </c>
      <c r="G40" s="60">
        <f t="shared" si="3"/>
        <v>4793764.0449438207</v>
      </c>
      <c r="I40" s="33" t="s">
        <v>50</v>
      </c>
      <c r="J40" s="184">
        <v>9697710.7180020809</v>
      </c>
    </row>
    <row r="41" spans="1:10" x14ac:dyDescent="0.3">
      <c r="A41" s="54">
        <f t="shared" si="2"/>
        <v>13</v>
      </c>
      <c r="B41" s="47">
        <v>1700000</v>
      </c>
      <c r="C41" s="51">
        <v>109</v>
      </c>
      <c r="D41" s="49" t="s">
        <v>9</v>
      </c>
      <c r="E41" s="47">
        <f t="shared" si="0"/>
        <v>15596.330275229358</v>
      </c>
      <c r="F41" s="1">
        <f t="shared" si="1"/>
        <v>44449.541284403676</v>
      </c>
      <c r="G41" s="60">
        <f t="shared" si="3"/>
        <v>2666972.4770642207</v>
      </c>
      <c r="I41" s="33" t="s">
        <v>54</v>
      </c>
      <c r="J41" s="184">
        <v>101192792.0583017</v>
      </c>
    </row>
    <row r="42" spans="1:10" x14ac:dyDescent="0.3">
      <c r="A42" s="54">
        <f t="shared" si="2"/>
        <v>14</v>
      </c>
      <c r="B42" s="47">
        <v>6370000</v>
      </c>
      <c r="C42" s="51">
        <v>202.9</v>
      </c>
      <c r="D42" s="49" t="s">
        <v>12</v>
      </c>
      <c r="E42" s="47">
        <f t="shared" si="0"/>
        <v>31394.775751601774</v>
      </c>
      <c r="F42" s="1">
        <f t="shared" si="1"/>
        <v>89475.110892065059</v>
      </c>
      <c r="G42" s="60">
        <f t="shared" si="3"/>
        <v>5368506.6535239033</v>
      </c>
      <c r="I42" s="33" t="s">
        <v>58</v>
      </c>
      <c r="J42" s="186">
        <v>20</v>
      </c>
    </row>
    <row r="43" spans="1:10" x14ac:dyDescent="0.3">
      <c r="A43" s="54">
        <f t="shared" si="2"/>
        <v>15</v>
      </c>
      <c r="B43" s="47">
        <v>4000000</v>
      </c>
      <c r="C43" s="51">
        <v>121.8</v>
      </c>
      <c r="D43" s="49" t="s">
        <v>16</v>
      </c>
      <c r="E43" s="47">
        <f t="shared" si="0"/>
        <v>32840.722495894908</v>
      </c>
      <c r="F43" s="1">
        <f t="shared" si="1"/>
        <v>93596.059113300493</v>
      </c>
      <c r="G43" s="60">
        <f t="shared" si="3"/>
        <v>5615763.5467980299</v>
      </c>
      <c r="I43" s="35" t="s">
        <v>62</v>
      </c>
      <c r="J43" s="187">
        <v>916982.48900648858</v>
      </c>
    </row>
    <row r="44" spans="1:10" x14ac:dyDescent="0.3">
      <c r="A44" s="54">
        <f t="shared" si="2"/>
        <v>16</v>
      </c>
      <c r="B44" s="47">
        <v>4450000</v>
      </c>
      <c r="C44" s="51">
        <v>142</v>
      </c>
      <c r="D44" s="49" t="s">
        <v>20</v>
      </c>
      <c r="E44" s="47">
        <f t="shared" si="0"/>
        <v>31338.028169014084</v>
      </c>
      <c r="F44" s="1">
        <f t="shared" si="1"/>
        <v>89313.380281690144</v>
      </c>
      <c r="G44" s="60">
        <f t="shared" si="3"/>
        <v>5358802.8169014091</v>
      </c>
    </row>
    <row r="45" spans="1:10" x14ac:dyDescent="0.3">
      <c r="A45" s="54">
        <f t="shared" si="2"/>
        <v>17</v>
      </c>
      <c r="B45" s="47">
        <v>4100000</v>
      </c>
      <c r="C45" s="51">
        <v>195.1</v>
      </c>
      <c r="D45" s="49" t="s">
        <v>16</v>
      </c>
      <c r="E45" s="47">
        <f t="shared" si="0"/>
        <v>21014.864172219375</v>
      </c>
      <c r="F45" s="1">
        <f t="shared" si="1"/>
        <v>59892.362890825221</v>
      </c>
      <c r="G45" s="60">
        <f t="shared" si="3"/>
        <v>3593541.7734495131</v>
      </c>
    </row>
    <row r="46" spans="1:10" x14ac:dyDescent="0.3">
      <c r="A46" s="54">
        <f t="shared" si="2"/>
        <v>18</v>
      </c>
      <c r="B46" s="47">
        <v>3899999</v>
      </c>
      <c r="C46" s="51">
        <v>209</v>
      </c>
      <c r="D46" s="49" t="s">
        <v>28</v>
      </c>
      <c r="E46" s="47">
        <f t="shared" si="0"/>
        <v>18660.282296650719</v>
      </c>
      <c r="F46" s="1">
        <f t="shared" si="1"/>
        <v>53181.80454545455</v>
      </c>
      <c r="G46" s="60">
        <f t="shared" si="3"/>
        <v>3190908.2727272729</v>
      </c>
    </row>
    <row r="47" spans="1:10" x14ac:dyDescent="0.3">
      <c r="A47" s="54">
        <f t="shared" si="2"/>
        <v>19</v>
      </c>
      <c r="B47" s="47">
        <v>5773888</v>
      </c>
      <c r="C47" s="51">
        <v>215</v>
      </c>
      <c r="D47" s="49" t="s">
        <v>9</v>
      </c>
      <c r="E47" s="47">
        <f t="shared" si="0"/>
        <v>26855.293023255814</v>
      </c>
      <c r="F47" s="1">
        <f t="shared" si="1"/>
        <v>76537.585116279079</v>
      </c>
      <c r="G47" s="60">
        <f t="shared" si="3"/>
        <v>4592255.1069767447</v>
      </c>
    </row>
    <row r="48" spans="1:10" x14ac:dyDescent="0.3">
      <c r="A48" s="55">
        <f t="shared" si="2"/>
        <v>20</v>
      </c>
      <c r="B48" s="48">
        <v>5015888</v>
      </c>
      <c r="C48" s="52">
        <v>207</v>
      </c>
      <c r="D48" s="53" t="s">
        <v>16</v>
      </c>
      <c r="E48" s="48">
        <f t="shared" si="0"/>
        <v>24231.342995169081</v>
      </c>
      <c r="F48" s="61">
        <f t="shared" si="1"/>
        <v>69059.327536231882</v>
      </c>
      <c r="G48" s="62">
        <f t="shared" si="3"/>
        <v>4143559.6521739131</v>
      </c>
    </row>
    <row r="49" spans="6:7" x14ac:dyDescent="0.3">
      <c r="F49" s="1"/>
    </row>
    <row r="51" spans="6:7" x14ac:dyDescent="0.3">
      <c r="G51" s="8"/>
    </row>
    <row r="52" spans="6:7" x14ac:dyDescent="0.3">
      <c r="G52" s="8"/>
    </row>
    <row r="53" spans="6:7" x14ac:dyDescent="0.3">
      <c r="G53" s="8"/>
    </row>
    <row r="54" spans="6:7" x14ac:dyDescent="0.3">
      <c r="G54" s="8"/>
    </row>
    <row r="55" spans="6:7" x14ac:dyDescent="0.3">
      <c r="G55" s="8"/>
    </row>
    <row r="56" spans="6:7" x14ac:dyDescent="0.3">
      <c r="G56" s="8"/>
    </row>
    <row r="57" spans="6:7" x14ac:dyDescent="0.3">
      <c r="G57" s="8"/>
    </row>
    <row r="58" spans="6:7" x14ac:dyDescent="0.3">
      <c r="G58" s="8"/>
    </row>
    <row r="59" spans="6:7" x14ac:dyDescent="0.3">
      <c r="G59" s="8"/>
    </row>
    <row r="60" spans="6:7" x14ac:dyDescent="0.3">
      <c r="G60" s="8"/>
    </row>
    <row r="61" spans="6:7" x14ac:dyDescent="0.3">
      <c r="G61" s="8"/>
    </row>
    <row r="62" spans="6:7" x14ac:dyDescent="0.3">
      <c r="G62" s="8"/>
    </row>
    <row r="63" spans="6:7" x14ac:dyDescent="0.3">
      <c r="G63" s="8"/>
    </row>
    <row r="64" spans="6:7" x14ac:dyDescent="0.3">
      <c r="G64" s="8"/>
    </row>
    <row r="65" spans="7:7" x14ac:dyDescent="0.3">
      <c r="G65" s="8"/>
    </row>
    <row r="66" spans="7:7" x14ac:dyDescent="0.3">
      <c r="G66" s="8"/>
    </row>
    <row r="67" spans="7:7" x14ac:dyDescent="0.3">
      <c r="G67" s="8"/>
    </row>
    <row r="68" spans="7:7" x14ac:dyDescent="0.3">
      <c r="G68" s="8"/>
    </row>
    <row r="69" spans="7:7" x14ac:dyDescent="0.3">
      <c r="G69" s="8"/>
    </row>
    <row r="70" spans="7:7" x14ac:dyDescent="0.3">
      <c r="G70" s="8"/>
    </row>
    <row r="284" spans="9:10" x14ac:dyDescent="0.3">
      <c r="I284" t="s">
        <v>75</v>
      </c>
    </row>
    <row r="286" spans="9:10" x14ac:dyDescent="0.3">
      <c r="I286" t="s">
        <v>76</v>
      </c>
      <c r="J286">
        <v>5059639.6029150849</v>
      </c>
    </row>
    <row r="287" spans="9:10" x14ac:dyDescent="0.3">
      <c r="I287" t="s">
        <v>77</v>
      </c>
      <c r="J287">
        <v>438113.68869609892</v>
      </c>
    </row>
    <row r="288" spans="9:10" x14ac:dyDescent="0.3">
      <c r="I288" t="s">
        <v>22</v>
      </c>
      <c r="J288">
        <v>4693009.5759602822</v>
      </c>
    </row>
    <row r="289" spans="9:10" x14ac:dyDescent="0.3">
      <c r="I289" t="s">
        <v>78</v>
      </c>
      <c r="J289" t="e">
        <v>#N/A</v>
      </c>
    </row>
    <row r="290" spans="9:10" x14ac:dyDescent="0.3">
      <c r="I290" t="s">
        <v>79</v>
      </c>
      <c r="J290">
        <v>1959303.9795953168</v>
      </c>
    </row>
    <row r="291" spans="9:10" x14ac:dyDescent="0.3">
      <c r="I291" t="s">
        <v>80</v>
      </c>
      <c r="J291">
        <v>3838872084458.0459</v>
      </c>
    </row>
    <row r="292" spans="9:10" x14ac:dyDescent="0.3">
      <c r="I292" t="s">
        <v>81</v>
      </c>
      <c r="J292">
        <v>0.34548452930116991</v>
      </c>
    </row>
    <row r="293" spans="9:10" x14ac:dyDescent="0.3">
      <c r="I293" t="s">
        <v>82</v>
      </c>
      <c r="J293">
        <v>0.79723379996289034</v>
      </c>
    </row>
    <row r="294" spans="9:10" x14ac:dyDescent="0.3">
      <c r="I294" t="s">
        <v>83</v>
      </c>
      <c r="J294">
        <v>7649806.5263853148</v>
      </c>
    </row>
    <row r="295" spans="9:10" x14ac:dyDescent="0.3">
      <c r="I295" t="s">
        <v>46</v>
      </c>
      <c r="J295">
        <v>2047904.1916167664</v>
      </c>
    </row>
    <row r="296" spans="9:10" x14ac:dyDescent="0.3">
      <c r="I296" t="s">
        <v>84</v>
      </c>
      <c r="J296">
        <v>9697710.7180020809</v>
      </c>
    </row>
    <row r="297" spans="9:10" x14ac:dyDescent="0.3">
      <c r="I297" t="s">
        <v>54</v>
      </c>
      <c r="J297">
        <v>101192792.0583017</v>
      </c>
    </row>
    <row r="298" spans="9:10" x14ac:dyDescent="0.3">
      <c r="I298" t="s">
        <v>85</v>
      </c>
      <c r="J298">
        <v>20</v>
      </c>
    </row>
    <row r="299" spans="9:10" x14ac:dyDescent="0.3">
      <c r="I299" t="s">
        <v>86</v>
      </c>
      <c r="J299">
        <v>916982.48900648858</v>
      </c>
    </row>
  </sheetData>
  <mergeCells count="2">
    <mergeCell ref="I2:J2"/>
    <mergeCell ref="I28:J28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E780A7-3F86-4613-95AD-7941C317236B}">
  <dimension ref="A1:L1071"/>
  <sheetViews>
    <sheetView zoomScale="39" workbookViewId="0">
      <selection activeCell="E45" sqref="E45"/>
    </sheetView>
  </sheetViews>
  <sheetFormatPr baseColWidth="10" defaultColWidth="11" defaultRowHeight="15.75" customHeight="1" x14ac:dyDescent="0.3"/>
  <cols>
    <col min="1" max="1" width="13" customWidth="1"/>
    <col min="2" max="2" width="32.69921875" customWidth="1"/>
    <col min="3" max="3" width="20.796875" customWidth="1"/>
    <col min="4" max="4" width="18.5" customWidth="1"/>
    <col min="5" max="5" width="84.796875" bestFit="1" customWidth="1"/>
    <col min="6" max="6" width="12.69921875" bestFit="1" customWidth="1"/>
    <col min="7" max="7" width="12.69921875" customWidth="1"/>
    <col min="8" max="8" width="16" bestFit="1" customWidth="1"/>
    <col min="9" max="9" width="15.19921875" customWidth="1"/>
    <col min="10" max="10" width="17.296875" customWidth="1"/>
    <col min="11" max="11" width="21" customWidth="1"/>
    <col min="15" max="15" width="16" customWidth="1"/>
    <col min="16" max="16" width="83.69921875" bestFit="1" customWidth="1"/>
    <col min="17" max="17" width="25.5" customWidth="1"/>
  </cols>
  <sheetData>
    <row r="1" spans="1:12" ht="15.6" x14ac:dyDescent="0.3">
      <c r="A1" s="65" t="s">
        <v>87</v>
      </c>
      <c r="B1" s="72" t="s">
        <v>88</v>
      </c>
      <c r="C1" s="104" t="s">
        <v>89</v>
      </c>
      <c r="D1" s="69"/>
      <c r="H1" s="75" t="s">
        <v>87</v>
      </c>
      <c r="I1" s="82" t="s">
        <v>90</v>
      </c>
      <c r="J1" s="104" t="s">
        <v>89</v>
      </c>
      <c r="K1" s="79"/>
      <c r="L1" s="212"/>
    </row>
    <row r="2" spans="1:12" ht="15.6" x14ac:dyDescent="0.3">
      <c r="A2" s="66" t="s">
        <v>91</v>
      </c>
      <c r="B2" s="175">
        <f>Data!J4</f>
        <v>2619092.8459999999</v>
      </c>
      <c r="C2" s="70" t="s">
        <v>92</v>
      </c>
      <c r="D2" s="165">
        <f>F8</f>
        <v>0.17369999999999999</v>
      </c>
      <c r="H2" s="76" t="s">
        <v>91</v>
      </c>
      <c r="I2" s="175">
        <f>Data!J30</f>
        <v>5059639.6029150803</v>
      </c>
      <c r="J2" s="80" t="str">
        <f>C2</f>
        <v xml:space="preserve">index growth </v>
      </c>
      <c r="K2" s="214">
        <f>F18</f>
        <v>0.14430000000000001</v>
      </c>
      <c r="L2" s="212"/>
    </row>
    <row r="3" spans="1:12" ht="15.6" x14ac:dyDescent="0.3">
      <c r="A3" s="67"/>
      <c r="B3" s="73"/>
      <c r="C3" s="70" t="s">
        <v>93</v>
      </c>
      <c r="D3" s="165">
        <f>F9</f>
        <v>1.4500000000000001E-2</v>
      </c>
      <c r="H3" s="77"/>
      <c r="I3" s="83"/>
      <c r="J3" s="80" t="str">
        <f>C3</f>
        <v>index growth montly</v>
      </c>
      <c r="K3" s="214">
        <f>F19</f>
        <v>1.2025000000000001E-2</v>
      </c>
      <c r="L3" s="212"/>
    </row>
    <row r="4" spans="1:12" ht="16.2" thickBot="1" x14ac:dyDescent="0.35">
      <c r="A4" s="68"/>
      <c r="B4" s="74"/>
      <c r="C4" s="71" t="s">
        <v>94</v>
      </c>
      <c r="D4" s="215">
        <f>F12</f>
        <v>-5.3280000000000003E-3</v>
      </c>
      <c r="H4" s="78"/>
      <c r="I4" s="84"/>
      <c r="J4" s="81" t="s">
        <v>94</v>
      </c>
      <c r="K4" s="213">
        <f>F22</f>
        <v>-5.3400000000000001E-3</v>
      </c>
      <c r="L4" s="212"/>
    </row>
    <row r="5" spans="1:12" ht="15.6" x14ac:dyDescent="0.3"/>
    <row r="7" spans="1:12" ht="15.6" x14ac:dyDescent="0.3">
      <c r="A7" s="98" t="s">
        <v>95</v>
      </c>
      <c r="B7" s="99" t="s">
        <v>96</v>
      </c>
      <c r="C7" s="100" t="s">
        <v>97</v>
      </c>
      <c r="E7" s="163" t="s">
        <v>88</v>
      </c>
      <c r="F7" s="173" t="s">
        <v>98</v>
      </c>
      <c r="H7" s="101" t="s">
        <v>95</v>
      </c>
      <c r="I7" s="102" t="s">
        <v>96</v>
      </c>
      <c r="J7" s="103" t="s">
        <v>97</v>
      </c>
    </row>
    <row r="8" spans="1:12" ht="15.6" x14ac:dyDescent="0.3">
      <c r="A8" s="90">
        <v>1</v>
      </c>
      <c r="B8" s="91">
        <f t="shared" ref="B8:B39" ca="1" si="0">$D$4+($D$3-$D$4)*RAND()</f>
        <v>-3.7776274255111458E-4</v>
      </c>
      <c r="C8" s="174">
        <f ca="1">B2*(1+B8)</f>
        <v>2618103.4503034991</v>
      </c>
      <c r="D8" s="51"/>
      <c r="E8" s="54" t="s">
        <v>99</v>
      </c>
      <c r="F8" s="164">
        <v>0.17369999999999999</v>
      </c>
      <c r="H8" s="54">
        <v>1</v>
      </c>
      <c r="I8" s="92">
        <f t="shared" ref="I8:I39" ca="1" si="1">$K$4+($K$3-$K$4)*RAND()</f>
        <v>6.6569596287904299E-5</v>
      </c>
      <c r="J8" s="93">
        <f ca="1">I2*(1+I8)</f>
        <v>5059976.4210808082</v>
      </c>
    </row>
    <row r="9" spans="1:12" ht="15.6" x14ac:dyDescent="0.3">
      <c r="A9" s="54">
        <v>2</v>
      </c>
      <c r="B9" s="92">
        <f t="shared" ca="1" si="0"/>
        <v>1.283802778822906E-2</v>
      </c>
      <c r="C9" s="94">
        <f ca="1">C8*(1+B9)</f>
        <v>2651714.7351509538</v>
      </c>
      <c r="D9" s="51"/>
      <c r="E9" s="54" t="s">
        <v>100</v>
      </c>
      <c r="F9" s="164">
        <v>1.4500000000000001E-2</v>
      </c>
      <c r="H9" s="54">
        <v>2</v>
      </c>
      <c r="I9" s="92">
        <f t="shared" ca="1" si="1"/>
        <v>-3.9601226355927095E-3</v>
      </c>
      <c r="J9" s="93">
        <f ca="1">J8*(1+I9)</f>
        <v>5039938.2939201202</v>
      </c>
    </row>
    <row r="10" spans="1:12" ht="15.6" x14ac:dyDescent="0.3">
      <c r="A10" s="54">
        <v>3</v>
      </c>
      <c r="B10" s="92">
        <f t="shared" ca="1" si="0"/>
        <v>1.3812403519974849E-2</v>
      </c>
      <c r="C10" s="94">
        <f t="shared" ref="C10:C66" ca="1" si="2">C9*(1+B10)</f>
        <v>2688341.2890927223</v>
      </c>
      <c r="D10" s="51"/>
      <c r="E10" s="54"/>
      <c r="F10" s="94"/>
      <c r="H10" s="54">
        <v>3</v>
      </c>
      <c r="I10" s="92">
        <f t="shared" ca="1" si="1"/>
        <v>9.3211888075216583E-3</v>
      </c>
      <c r="J10" s="93">
        <f t="shared" ref="J10:J67" ca="1" si="3">J9*(1+I10)</f>
        <v>5086916.5103360089</v>
      </c>
    </row>
    <row r="11" spans="1:12" ht="15.6" x14ac:dyDescent="0.3">
      <c r="A11" s="54">
        <v>4</v>
      </c>
      <c r="B11" s="92">
        <f t="shared" ca="1" si="0"/>
        <v>2.8904492870493502E-3</v>
      </c>
      <c r="C11" s="94">
        <f t="shared" ca="1" si="2"/>
        <v>2696111.8032551259</v>
      </c>
      <c r="D11" s="51"/>
      <c r="E11" s="54" t="s">
        <v>101</v>
      </c>
      <c r="F11" s="164">
        <v>-0.13320000000000001</v>
      </c>
      <c r="G11" s="188"/>
      <c r="H11" s="54">
        <v>4</v>
      </c>
      <c r="I11" s="92">
        <f t="shared" ca="1" si="1"/>
        <v>-4.443687894386413E-3</v>
      </c>
      <c r="J11" s="93">
        <f t="shared" ca="1" si="3"/>
        <v>5064311.8410192747</v>
      </c>
    </row>
    <row r="12" spans="1:12" ht="15.6" x14ac:dyDescent="0.3">
      <c r="A12" s="54">
        <v>5</v>
      </c>
      <c r="B12" s="92">
        <f t="shared" ca="1" si="0"/>
        <v>-4.0234975453341208E-4</v>
      </c>
      <c r="C12" s="94">
        <f t="shared" ca="1" si="2"/>
        <v>2695027.0233328915</v>
      </c>
      <c r="D12" s="51"/>
      <c r="E12" s="54" t="s">
        <v>102</v>
      </c>
      <c r="F12" s="211">
        <f>F11/25</f>
        <v>-5.3280000000000003E-3</v>
      </c>
      <c r="G12" s="196"/>
      <c r="H12" s="54">
        <v>5</v>
      </c>
      <c r="I12" s="92">
        <f t="shared" ca="1" si="1"/>
        <v>1.1212831513073857E-2</v>
      </c>
      <c r="J12" s="93">
        <f t="shared" ca="1" si="3"/>
        <v>5121097.1164222891</v>
      </c>
    </row>
    <row r="13" spans="1:12" ht="15.6" x14ac:dyDescent="0.3">
      <c r="A13" s="54">
        <v>6</v>
      </c>
      <c r="B13" s="92">
        <f ca="1">$D$4+($D$3-$D$4)*RAND()</f>
        <v>-6.6883882844148267E-4</v>
      </c>
      <c r="C13" s="94">
        <f t="shared" ca="1" si="2"/>
        <v>2693224.4846159876</v>
      </c>
      <c r="D13" s="51"/>
      <c r="E13" s="54"/>
      <c r="F13" s="195"/>
      <c r="H13" s="54">
        <v>6</v>
      </c>
      <c r="I13" s="92">
        <f t="shared" ca="1" si="1"/>
        <v>-3.2834049906642609E-4</v>
      </c>
      <c r="J13" s="93">
        <f t="shared" ca="1" si="3"/>
        <v>5119415.6528393151</v>
      </c>
    </row>
    <row r="14" spans="1:12" ht="15.6" x14ac:dyDescent="0.3">
      <c r="A14" s="54">
        <v>7</v>
      </c>
      <c r="B14" s="92">
        <f t="shared" ca="1" si="0"/>
        <v>-3.4026678800307014E-3</v>
      </c>
      <c r="C14" s="94">
        <f t="shared" ca="1" si="2"/>
        <v>2684060.3361684727</v>
      </c>
      <c r="D14" s="51"/>
      <c r="E14" s="55"/>
      <c r="F14" s="208"/>
      <c r="H14" s="54">
        <v>7</v>
      </c>
      <c r="I14" s="92">
        <f t="shared" ca="1" si="1"/>
        <v>1.4965676358816545E-3</v>
      </c>
      <c r="J14" s="93">
        <f t="shared" ca="1" si="3"/>
        <v>5127077.2046199804</v>
      </c>
    </row>
    <row r="15" spans="1:12" ht="15.6" x14ac:dyDescent="0.3">
      <c r="A15" s="54">
        <v>8</v>
      </c>
      <c r="B15" s="92">
        <f t="shared" ca="1" si="0"/>
        <v>8.6052822848107641E-3</v>
      </c>
      <c r="C15" s="94">
        <f t="shared" ca="1" si="2"/>
        <v>2707157.4330306668</v>
      </c>
      <c r="D15" s="51"/>
      <c r="H15" s="54">
        <v>8</v>
      </c>
      <c r="I15" s="92">
        <f ca="1">$K$4+($K$3-$K$4)*RAND()</f>
        <v>-2.5281245895965158E-3</v>
      </c>
      <c r="J15" s="93">
        <f t="shared" ca="1" si="3"/>
        <v>5114115.3146662209</v>
      </c>
    </row>
    <row r="16" spans="1:12" ht="15.6" x14ac:dyDescent="0.3">
      <c r="A16" s="54">
        <v>9</v>
      </c>
      <c r="B16" s="92">
        <f t="shared" ca="1" si="0"/>
        <v>5.0016400686287285E-3</v>
      </c>
      <c r="C16" s="94">
        <f t="shared" ca="1" si="2"/>
        <v>2720697.6601197994</v>
      </c>
      <c r="D16" s="51"/>
      <c r="E16" s="51"/>
      <c r="H16" s="54">
        <v>9</v>
      </c>
      <c r="I16" s="92">
        <f t="shared" ca="1" si="1"/>
        <v>1.0550672791635116E-2</v>
      </c>
      <c r="J16" s="93">
        <f t="shared" ca="1" si="3"/>
        <v>5168072.6719699539</v>
      </c>
    </row>
    <row r="17" spans="1:10" ht="15.6" x14ac:dyDescent="0.3">
      <c r="A17" s="54">
        <v>10</v>
      </c>
      <c r="B17" s="92">
        <f t="shared" ca="1" si="0"/>
        <v>-4.4087110878844593E-3</v>
      </c>
      <c r="C17" s="94">
        <f t="shared" ca="1" si="2"/>
        <v>2708702.8901788481</v>
      </c>
      <c r="D17" s="51"/>
      <c r="E17" s="170" t="s">
        <v>103</v>
      </c>
      <c r="F17" s="173" t="s">
        <v>98</v>
      </c>
      <c r="H17" s="54">
        <v>10</v>
      </c>
      <c r="I17" s="92">
        <f t="shared" ca="1" si="1"/>
        <v>-4.4653363483615847E-3</v>
      </c>
      <c r="J17" s="93">
        <f t="shared" ca="1" si="3"/>
        <v>5144995.4892168324</v>
      </c>
    </row>
    <row r="18" spans="1:10" ht="15.6" x14ac:dyDescent="0.3">
      <c r="A18" s="54">
        <v>11</v>
      </c>
      <c r="B18" s="92">
        <f t="shared" ca="1" si="0"/>
        <v>8.9726538711402473E-3</v>
      </c>
      <c r="C18" s="94">
        <f t="shared" ca="1" si="2"/>
        <v>2733007.1436521802</v>
      </c>
      <c r="D18" s="51"/>
      <c r="E18" s="54" t="str">
        <f>E8</f>
        <v>Index Bayout juli 2021-2022 now (Growth period)</v>
      </c>
      <c r="F18" s="171">
        <v>0.14430000000000001</v>
      </c>
      <c r="H18" s="54">
        <v>11</v>
      </c>
      <c r="I18" s="92">
        <f t="shared" ca="1" si="1"/>
        <v>7.7226293537508263E-3</v>
      </c>
      <c r="J18" s="93">
        <f t="shared" ca="1" si="3"/>
        <v>5184728.382406774</v>
      </c>
    </row>
    <row r="19" spans="1:10" ht="15.6" x14ac:dyDescent="0.3">
      <c r="A19" s="54">
        <v>12</v>
      </c>
      <c r="B19" s="92">
        <f t="shared" ca="1" si="0"/>
        <v>1.3685953034831732E-2</v>
      </c>
      <c r="C19" s="94">
        <f t="shared" ca="1" si="2"/>
        <v>2770410.9510640632</v>
      </c>
      <c r="D19" s="51"/>
      <c r="E19" s="54" t="str">
        <f>E9</f>
        <v>Index Bayout 2021-2022 monthly</v>
      </c>
      <c r="F19" s="171">
        <f>F18/12</f>
        <v>1.2025000000000001E-2</v>
      </c>
      <c r="H19" s="54">
        <v>12</v>
      </c>
      <c r="I19" s="92">
        <f t="shared" ca="1" si="1"/>
        <v>-1.1720384631912053E-3</v>
      </c>
      <c r="J19" s="93">
        <f t="shared" ca="1" si="3"/>
        <v>5178651.6813213937</v>
      </c>
    </row>
    <row r="20" spans="1:10" ht="15.6" x14ac:dyDescent="0.3">
      <c r="A20" s="54">
        <v>13</v>
      </c>
      <c r="B20" s="92">
        <f t="shared" ca="1" si="0"/>
        <v>9.1788473643190267E-3</v>
      </c>
      <c r="C20" s="94">
        <f t="shared" ca="1" si="2"/>
        <v>2795840.1303203185</v>
      </c>
      <c r="D20" s="51"/>
      <c r="E20" s="54"/>
      <c r="F20" s="85"/>
      <c r="G20" s="51"/>
      <c r="H20" s="54">
        <v>13</v>
      </c>
      <c r="I20" s="92">
        <f t="shared" ca="1" si="1"/>
        <v>8.043516408073461E-3</v>
      </c>
      <c r="J20" s="93">
        <f t="shared" ca="1" si="3"/>
        <v>5220306.2510917997</v>
      </c>
    </row>
    <row r="21" spans="1:10" ht="15.6" x14ac:dyDescent="0.3">
      <c r="A21" s="54">
        <v>14</v>
      </c>
      <c r="B21" s="92">
        <f t="shared" ca="1" si="0"/>
        <v>9.0637040435509776E-3</v>
      </c>
      <c r="C21" s="94">
        <f t="shared" ca="1" si="2"/>
        <v>2821180.7978146253</v>
      </c>
      <c r="D21" s="51"/>
      <c r="E21" s="54" t="s">
        <v>101</v>
      </c>
      <c r="F21" s="171">
        <v>-0.13350000000000001</v>
      </c>
      <c r="G21" s="197"/>
      <c r="H21" s="54">
        <v>14</v>
      </c>
      <c r="I21" s="92">
        <f t="shared" ca="1" si="1"/>
        <v>8.3032964583984459E-3</v>
      </c>
      <c r="J21" s="93">
        <f t="shared" ca="1" si="3"/>
        <v>5263652.0014982456</v>
      </c>
    </row>
    <row r="22" spans="1:10" ht="15.6" x14ac:dyDescent="0.3">
      <c r="A22" s="54">
        <v>15</v>
      </c>
      <c r="B22" s="92">
        <f t="shared" ca="1" si="0"/>
        <v>1.4042553748643848E-2</v>
      </c>
      <c r="C22" s="94">
        <f t="shared" ca="1" si="2"/>
        <v>2860797.3808025792</v>
      </c>
      <c r="D22" s="51"/>
      <c r="E22" s="54" t="s">
        <v>102</v>
      </c>
      <c r="F22" s="210">
        <f>F21/25</f>
        <v>-5.3400000000000001E-3</v>
      </c>
      <c r="G22" s="197"/>
      <c r="H22" s="54">
        <v>15</v>
      </c>
      <c r="I22" s="92">
        <f t="shared" ca="1" si="1"/>
        <v>7.7530797758206252E-3</v>
      </c>
      <c r="J22" s="93">
        <f t="shared" ca="1" si="3"/>
        <v>5304461.5153780188</v>
      </c>
    </row>
    <row r="23" spans="1:10" ht="15.6" x14ac:dyDescent="0.3">
      <c r="A23" s="54">
        <v>16</v>
      </c>
      <c r="B23" s="92">
        <f t="shared" ca="1" si="0"/>
        <v>9.4951793430600936E-3</v>
      </c>
      <c r="C23" s="94">
        <f t="shared" ca="1" si="2"/>
        <v>2887961.1649974561</v>
      </c>
      <c r="D23" s="51"/>
      <c r="E23" s="172"/>
      <c r="F23" s="85"/>
      <c r="G23" s="51"/>
      <c r="H23" s="54">
        <v>16</v>
      </c>
      <c r="I23" s="92">
        <f t="shared" ca="1" si="1"/>
        <v>1.0025832451463702E-2</v>
      </c>
      <c r="J23" s="93">
        <f t="shared" ca="1" si="3"/>
        <v>5357643.1577764358</v>
      </c>
    </row>
    <row r="24" spans="1:10" ht="15.6" x14ac:dyDescent="0.3">
      <c r="A24" s="54">
        <v>17</v>
      </c>
      <c r="B24" s="92">
        <f t="shared" ca="1" si="0"/>
        <v>7.807702553957129E-3</v>
      </c>
      <c r="C24" s="94">
        <f t="shared" ca="1" si="2"/>
        <v>2910509.506761136</v>
      </c>
      <c r="D24" s="51"/>
      <c r="E24" s="55">
        <f>E14</f>
        <v>0</v>
      </c>
      <c r="F24" s="209"/>
      <c r="G24" s="51"/>
      <c r="H24" s="54">
        <v>17</v>
      </c>
      <c r="I24" s="92">
        <f t="shared" ca="1" si="1"/>
        <v>-2.8834581928557229E-3</v>
      </c>
      <c r="J24" s="93">
        <f t="shared" ca="1" si="3"/>
        <v>5342194.6177187478</v>
      </c>
    </row>
    <row r="25" spans="1:10" ht="15.6" x14ac:dyDescent="0.3">
      <c r="A25" s="54">
        <v>18</v>
      </c>
      <c r="B25" s="92">
        <f t="shared" ca="1" si="0"/>
        <v>1.5584823004178797E-3</v>
      </c>
      <c r="C25" s="94">
        <f t="shared" ca="1" si="2"/>
        <v>2915045.4843126209</v>
      </c>
      <c r="D25" s="51"/>
      <c r="E25" s="51"/>
      <c r="F25" s="51"/>
      <c r="G25" s="51"/>
      <c r="H25" s="54">
        <v>18</v>
      </c>
      <c r="I25" s="92">
        <f t="shared" ca="1" si="1"/>
        <v>2.2912484697451725E-4</v>
      </c>
      <c r="J25" s="93">
        <f t="shared" ca="1" si="3"/>
        <v>5343418.6472430406</v>
      </c>
    </row>
    <row r="26" spans="1:10" ht="15.6" x14ac:dyDescent="0.3">
      <c r="A26" s="54">
        <v>19</v>
      </c>
      <c r="B26" s="92">
        <f t="shared" ca="1" si="0"/>
        <v>1.0781215542036607E-2</v>
      </c>
      <c r="C26" s="94">
        <f t="shared" ca="1" si="2"/>
        <v>2946473.2179938359</v>
      </c>
      <c r="D26" s="51"/>
      <c r="E26" s="51"/>
      <c r="F26" s="51"/>
      <c r="G26" s="51"/>
      <c r="H26" s="54">
        <v>19</v>
      </c>
      <c r="I26" s="92">
        <f t="shared" ca="1" si="1"/>
        <v>3.3827756194952903E-3</v>
      </c>
      <c r="J26" s="93">
        <f t="shared" ca="1" si="3"/>
        <v>5361494.2335676905</v>
      </c>
    </row>
    <row r="27" spans="1:10" ht="15.6" x14ac:dyDescent="0.3">
      <c r="A27" s="54">
        <v>20</v>
      </c>
      <c r="B27" s="92">
        <f t="shared" ca="1" si="0"/>
        <v>9.8212601371219857E-3</v>
      </c>
      <c r="C27" s="94">
        <f t="shared" ca="1" si="2"/>
        <v>2975411.2979548159</v>
      </c>
      <c r="D27" s="51"/>
      <c r="E27" s="51"/>
      <c r="F27" s="51"/>
      <c r="G27" s="51"/>
      <c r="H27" s="54">
        <v>20</v>
      </c>
      <c r="I27" s="92">
        <f t="shared" ca="1" si="1"/>
        <v>2.6382917460849057E-3</v>
      </c>
      <c r="J27" s="93">
        <f t="shared" ca="1" si="3"/>
        <v>5375639.4195507942</v>
      </c>
    </row>
    <row r="28" spans="1:10" ht="15.6" x14ac:dyDescent="0.3">
      <c r="A28" s="54">
        <v>21</v>
      </c>
      <c r="B28" s="92">
        <f t="shared" ca="1" si="0"/>
        <v>-8.7191681917028405E-4</v>
      </c>
      <c r="C28" s="94">
        <f t="shared" ca="1" si="2"/>
        <v>2972816.9868001798</v>
      </c>
      <c r="D28" s="51"/>
      <c r="E28" s="51"/>
      <c r="F28" s="92"/>
      <c r="G28" s="51"/>
      <c r="H28" s="54">
        <v>21</v>
      </c>
      <c r="I28" s="92">
        <f t="shared" ca="1" si="1"/>
        <v>4.7102268424018918E-3</v>
      </c>
      <c r="J28" s="93">
        <f t="shared" ca="1" si="3"/>
        <v>5400959.9006398367</v>
      </c>
    </row>
    <row r="29" spans="1:10" ht="15.6" x14ac:dyDescent="0.3">
      <c r="A29" s="54">
        <v>22</v>
      </c>
      <c r="B29" s="92">
        <f t="shared" ca="1" si="0"/>
        <v>2.8009601429951998E-3</v>
      </c>
      <c r="C29" s="94">
        <f t="shared" ca="1" si="2"/>
        <v>2981143.7286926261</v>
      </c>
      <c r="D29" s="51"/>
      <c r="E29" s="51"/>
      <c r="F29" s="51"/>
      <c r="G29" s="51"/>
      <c r="H29" s="54">
        <v>22</v>
      </c>
      <c r="I29" s="92">
        <f t="shared" ca="1" si="1"/>
        <v>6.3639683442323477E-3</v>
      </c>
      <c r="J29" s="93">
        <f t="shared" ca="1" si="3"/>
        <v>5435331.4384759767</v>
      </c>
    </row>
    <row r="30" spans="1:10" ht="15.6" x14ac:dyDescent="0.3">
      <c r="A30" s="54">
        <v>23</v>
      </c>
      <c r="B30" s="92">
        <f t="shared" ca="1" si="0"/>
        <v>-2.191758035374798E-3</v>
      </c>
      <c r="C30" s="94">
        <f t="shared" ca="1" si="2"/>
        <v>2974609.7829706571</v>
      </c>
      <c r="D30" s="51"/>
      <c r="E30" s="51"/>
      <c r="F30" s="51"/>
      <c r="G30" s="51"/>
      <c r="H30" s="54">
        <v>23</v>
      </c>
      <c r="I30" s="92">
        <f t="shared" ca="1" si="1"/>
        <v>-5.2264639099418786E-3</v>
      </c>
      <c r="J30" s="93">
        <f t="shared" ca="1" si="3"/>
        <v>5406923.87487421</v>
      </c>
    </row>
    <row r="31" spans="1:10" ht="15.6" x14ac:dyDescent="0.3">
      <c r="A31" s="54">
        <v>24</v>
      </c>
      <c r="B31" s="92">
        <f t="shared" ca="1" si="0"/>
        <v>1.150975943282493E-2</v>
      </c>
      <c r="C31" s="94">
        <f t="shared" ca="1" si="2"/>
        <v>3008846.8259791769</v>
      </c>
      <c r="D31" s="51"/>
      <c r="E31" s="51"/>
      <c r="F31" s="51"/>
      <c r="G31" s="51"/>
      <c r="H31" s="54">
        <v>24</v>
      </c>
      <c r="I31" s="92">
        <f t="shared" ca="1" si="1"/>
        <v>-8.4614103751299782E-4</v>
      </c>
      <c r="J31" s="93">
        <f t="shared" ca="1" si="3"/>
        <v>5402348.8546969704</v>
      </c>
    </row>
    <row r="32" spans="1:10" ht="15.6" x14ac:dyDescent="0.3">
      <c r="A32" s="54">
        <v>25</v>
      </c>
      <c r="B32" s="92">
        <f t="shared" ca="1" si="0"/>
        <v>7.1630333276467588E-3</v>
      </c>
      <c r="C32" s="94">
        <f t="shared" ca="1" si="2"/>
        <v>3030399.2960714498</v>
      </c>
      <c r="D32" s="51"/>
      <c r="E32" s="51"/>
      <c r="F32" s="51"/>
      <c r="G32" s="51"/>
      <c r="H32" s="54">
        <v>25</v>
      </c>
      <c r="I32" s="92">
        <f t="shared" ca="1" si="1"/>
        <v>4.5541692924095612E-3</v>
      </c>
      <c r="J32" s="93">
        <f t="shared" ca="1" si="3"/>
        <v>5426952.065957916</v>
      </c>
    </row>
    <row r="33" spans="1:10" ht="15.6" x14ac:dyDescent="0.3">
      <c r="A33" s="54">
        <v>26</v>
      </c>
      <c r="B33" s="92">
        <f t="shared" ca="1" si="0"/>
        <v>2.4159642994976589E-3</v>
      </c>
      <c r="C33" s="94">
        <f t="shared" ca="1" si="2"/>
        <v>3037720.6325839814</v>
      </c>
      <c r="D33" s="51"/>
      <c r="E33" s="51"/>
      <c r="F33" s="51"/>
      <c r="G33" s="51"/>
      <c r="H33" s="54">
        <v>26</v>
      </c>
      <c r="I33" s="92">
        <f t="shared" ca="1" si="1"/>
        <v>9.7155513969177446E-4</v>
      </c>
      <c r="J33" s="93">
        <f t="shared" ca="1" si="3"/>
        <v>5432224.6491304589</v>
      </c>
    </row>
    <row r="34" spans="1:10" ht="15.6" x14ac:dyDescent="0.3">
      <c r="A34" s="54">
        <v>27</v>
      </c>
      <c r="B34" s="92">
        <f t="shared" ca="1" si="0"/>
        <v>4.8899637201967354E-3</v>
      </c>
      <c r="C34" s="94">
        <f t="shared" ca="1" si="2"/>
        <v>3052574.97626941</v>
      </c>
      <c r="D34" s="51"/>
      <c r="E34" s="51"/>
      <c r="F34" s="51"/>
      <c r="G34" s="51"/>
      <c r="H34" s="54">
        <v>27</v>
      </c>
      <c r="I34" s="92">
        <f t="shared" ca="1" si="1"/>
        <v>5.02000912538086E-3</v>
      </c>
      <c r="J34" s="93">
        <f t="shared" ca="1" si="3"/>
        <v>5459494.4664402129</v>
      </c>
    </row>
    <row r="35" spans="1:10" ht="15.6" x14ac:dyDescent="0.3">
      <c r="A35" s="54">
        <v>28</v>
      </c>
      <c r="B35" s="92">
        <f t="shared" ca="1" si="0"/>
        <v>1.1103729197157814E-2</v>
      </c>
      <c r="C35" s="94">
        <f t="shared" ca="1" si="2"/>
        <v>3086469.9421599261</v>
      </c>
      <c r="D35" s="51"/>
      <c r="E35" s="51"/>
      <c r="F35" s="51"/>
      <c r="G35" s="51"/>
      <c r="H35" s="54">
        <v>28</v>
      </c>
      <c r="I35" s="92">
        <f t="shared" ca="1" si="1"/>
        <v>1.0651566714432532E-2</v>
      </c>
      <c r="J35" s="93">
        <f t="shared" ca="1" si="3"/>
        <v>5517646.6359765753</v>
      </c>
    </row>
    <row r="36" spans="1:10" ht="15.6" x14ac:dyDescent="0.3">
      <c r="A36" s="54">
        <v>29</v>
      </c>
      <c r="B36" s="92">
        <f t="shared" ca="1" si="0"/>
        <v>-1.9130125268071408E-3</v>
      </c>
      <c r="C36" s="94">
        <f t="shared" ca="1" si="2"/>
        <v>3080565.4864969607</v>
      </c>
      <c r="D36" s="51"/>
      <c r="E36" s="51"/>
      <c r="F36" s="51"/>
      <c r="G36" s="51"/>
      <c r="H36" s="54">
        <v>29</v>
      </c>
      <c r="I36" s="92">
        <f t="shared" ca="1" si="1"/>
        <v>-5.046378175417511E-3</v>
      </c>
      <c r="J36" s="93">
        <f t="shared" ca="1" si="3"/>
        <v>5489802.5044131167</v>
      </c>
    </row>
    <row r="37" spans="1:10" ht="15.6" x14ac:dyDescent="0.3">
      <c r="A37" s="54">
        <v>30</v>
      </c>
      <c r="B37" s="92">
        <f t="shared" ca="1" si="0"/>
        <v>1.2713432766334833E-2</v>
      </c>
      <c r="C37" s="94">
        <f t="shared" ca="1" si="2"/>
        <v>3119730.0486918311</v>
      </c>
      <c r="D37" s="51"/>
      <c r="E37" s="51"/>
      <c r="F37" s="51"/>
      <c r="G37" s="51"/>
      <c r="H37" s="54">
        <v>30</v>
      </c>
      <c r="I37" s="92">
        <f t="shared" ca="1" si="1"/>
        <v>9.671671127984699E-3</v>
      </c>
      <c r="J37" s="93">
        <f t="shared" ca="1" si="3"/>
        <v>5542898.0687933872</v>
      </c>
    </row>
    <row r="38" spans="1:10" ht="15.6" x14ac:dyDescent="0.3">
      <c r="A38" s="54">
        <v>31</v>
      </c>
      <c r="B38" s="92">
        <f t="shared" ca="1" si="0"/>
        <v>9.4973054163719449E-3</v>
      </c>
      <c r="C38" s="94">
        <f t="shared" ca="1" si="2"/>
        <v>3149359.0777808898</v>
      </c>
      <c r="D38" s="51"/>
      <c r="E38" s="51"/>
      <c r="F38" s="51"/>
      <c r="G38" s="51"/>
      <c r="H38" s="54">
        <v>31</v>
      </c>
      <c r="I38" s="92">
        <f t="shared" ca="1" si="1"/>
        <v>3.6450847785086836E-3</v>
      </c>
      <c r="J38" s="93">
        <f t="shared" ca="1" si="3"/>
        <v>5563102.4021727713</v>
      </c>
    </row>
    <row r="39" spans="1:10" ht="15.6" x14ac:dyDescent="0.3">
      <c r="A39" s="54">
        <v>32</v>
      </c>
      <c r="B39" s="92">
        <f t="shared" ca="1" si="0"/>
        <v>1.0064458367730518E-2</v>
      </c>
      <c r="C39" s="94">
        <f t="shared" ca="1" si="2"/>
        <v>3181055.6711042495</v>
      </c>
      <c r="D39" s="51"/>
      <c r="E39" s="51"/>
      <c r="F39" s="51"/>
      <c r="G39" s="51"/>
      <c r="H39" s="54">
        <v>32</v>
      </c>
      <c r="I39" s="92">
        <f t="shared" ca="1" si="1"/>
        <v>8.193509274085917E-4</v>
      </c>
      <c r="J39" s="93">
        <f t="shared" ca="1" si="3"/>
        <v>5567660.5352852605</v>
      </c>
    </row>
    <row r="40" spans="1:10" ht="15.6" x14ac:dyDescent="0.3">
      <c r="A40" s="54">
        <v>33</v>
      </c>
      <c r="B40" s="92">
        <f t="shared" ref="B40:B68" ca="1" si="4">$D$4+($D$3-$D$4)*RAND()</f>
        <v>2.6133621538719102E-3</v>
      </c>
      <c r="C40" s="94">
        <f t="shared" ca="1" si="2"/>
        <v>3189368.9216044731</v>
      </c>
      <c r="D40" s="51"/>
      <c r="E40" s="51"/>
      <c r="F40" s="51"/>
      <c r="G40" s="51"/>
      <c r="H40" s="54">
        <v>33</v>
      </c>
      <c r="I40" s="92">
        <f t="shared" ref="I40:I68" ca="1" si="5">$K$4+($K$3-$K$4)*RAND()</f>
        <v>3.3296677768764995E-3</v>
      </c>
      <c r="J40" s="93">
        <f t="shared" ca="1" si="3"/>
        <v>5586198.9951621871</v>
      </c>
    </row>
    <row r="41" spans="1:10" ht="15.6" x14ac:dyDescent="0.3">
      <c r="A41" s="54">
        <v>34</v>
      </c>
      <c r="B41" s="92">
        <f t="shared" ca="1" si="4"/>
        <v>9.2959849792672959E-5</v>
      </c>
      <c r="C41" s="94">
        <f t="shared" ca="1" si="2"/>
        <v>3189665.4048603592</v>
      </c>
      <c r="D41" s="51"/>
      <c r="E41" s="51"/>
      <c r="F41" s="51"/>
      <c r="G41" s="51"/>
      <c r="H41" s="54">
        <v>34</v>
      </c>
      <c r="I41" s="92">
        <f t="shared" ca="1" si="5"/>
        <v>-4.8244168806961668E-3</v>
      </c>
      <c r="J41" s="93">
        <f t="shared" ca="1" si="3"/>
        <v>5559248.8424309986</v>
      </c>
    </row>
    <row r="42" spans="1:10" ht="15.6" x14ac:dyDescent="0.3">
      <c r="A42" s="54">
        <v>35</v>
      </c>
      <c r="B42" s="92">
        <f t="shared" ca="1" si="4"/>
        <v>-2.1804952279516343E-3</v>
      </c>
      <c r="C42" s="94">
        <f t="shared" ca="1" si="2"/>
        <v>3182710.3546662987</v>
      </c>
      <c r="D42" s="51"/>
      <c r="E42" s="51"/>
      <c r="F42" s="51"/>
      <c r="G42" s="51"/>
      <c r="H42" s="54">
        <v>35</v>
      </c>
      <c r="I42" s="92">
        <f t="shared" ca="1" si="5"/>
        <v>8.8014708597731021E-3</v>
      </c>
      <c r="J42" s="93">
        <f t="shared" ca="1" si="3"/>
        <v>5608178.4091198817</v>
      </c>
    </row>
    <row r="43" spans="1:10" ht="15.6" x14ac:dyDescent="0.3">
      <c r="A43" s="54">
        <v>36</v>
      </c>
      <c r="B43" s="92">
        <f t="shared" ca="1" si="4"/>
        <v>-2.2667047785726504E-4</v>
      </c>
      <c r="C43" s="94">
        <f t="shared" ca="1" si="2"/>
        <v>3181988.9281893251</v>
      </c>
      <c r="D43" s="51"/>
      <c r="E43" s="51"/>
      <c r="F43" s="51"/>
      <c r="G43" s="51"/>
      <c r="H43" s="54">
        <v>36</v>
      </c>
      <c r="I43" s="92">
        <f t="shared" ca="1" si="5"/>
        <v>6.6598261103881489E-4</v>
      </c>
      <c r="J43" s="93">
        <f t="shared" ca="1" si="3"/>
        <v>5611913.3584199594</v>
      </c>
    </row>
    <row r="44" spans="1:10" ht="15.6" x14ac:dyDescent="0.3">
      <c r="A44" s="54">
        <v>37</v>
      </c>
      <c r="B44" s="92">
        <f t="shared" ca="1" si="4"/>
        <v>5.863212223651138E-3</v>
      </c>
      <c r="C44" s="94">
        <f t="shared" ca="1" si="2"/>
        <v>3200645.6045686072</v>
      </c>
      <c r="D44" s="51"/>
      <c r="E44" s="51"/>
      <c r="F44" s="51"/>
      <c r="G44" s="51"/>
      <c r="H44" s="54">
        <v>37</v>
      </c>
      <c r="I44" s="92">
        <f t="shared" ca="1" si="5"/>
        <v>-3.6234630750630282E-3</v>
      </c>
      <c r="J44" s="93">
        <f t="shared" ca="1" si="3"/>
        <v>5591578.7975852722</v>
      </c>
    </row>
    <row r="45" spans="1:10" ht="15.6" x14ac:dyDescent="0.3">
      <c r="A45" s="54">
        <v>38</v>
      </c>
      <c r="B45" s="92">
        <f t="shared" ca="1" si="4"/>
        <v>1.3471622764517504E-2</v>
      </c>
      <c r="C45" s="94">
        <f t="shared" ca="1" si="2"/>
        <v>3243763.4947562665</v>
      </c>
      <c r="D45" s="51"/>
      <c r="E45" s="51"/>
      <c r="F45" s="51"/>
      <c r="G45" s="51"/>
      <c r="H45" s="54">
        <v>38</v>
      </c>
      <c r="I45" s="92">
        <f t="shared" ca="1" si="5"/>
        <v>5.9358020743192829E-3</v>
      </c>
      <c r="J45" s="93">
        <f t="shared" ca="1" si="3"/>
        <v>5624769.3026106982</v>
      </c>
    </row>
    <row r="46" spans="1:10" ht="15.6" x14ac:dyDescent="0.3">
      <c r="A46" s="54">
        <v>39</v>
      </c>
      <c r="B46" s="92">
        <f t="shared" ca="1" si="4"/>
        <v>1.9799328574798079E-3</v>
      </c>
      <c r="C46" s="94">
        <f t="shared" ca="1" si="2"/>
        <v>3250185.9286814281</v>
      </c>
      <c r="D46" s="51"/>
      <c r="E46" s="51"/>
      <c r="F46" s="51"/>
      <c r="G46" s="51"/>
      <c r="H46" s="54">
        <v>39</v>
      </c>
      <c r="I46" s="92">
        <f t="shared" ca="1" si="5"/>
        <v>6.6632602473767812E-4</v>
      </c>
      <c r="J46" s="93">
        <f t="shared" ca="1" si="3"/>
        <v>5628517.2327801734</v>
      </c>
    </row>
    <row r="47" spans="1:10" ht="15.6" x14ac:dyDescent="0.3">
      <c r="A47" s="54">
        <v>40</v>
      </c>
      <c r="B47" s="92">
        <f t="shared" ca="1" si="4"/>
        <v>-4.1104211887917673E-3</v>
      </c>
      <c r="C47" s="94">
        <f t="shared" ca="1" si="2"/>
        <v>3236826.2955726632</v>
      </c>
      <c r="D47" s="51"/>
      <c r="E47" s="51"/>
      <c r="F47" s="51"/>
      <c r="G47" s="51"/>
      <c r="H47" s="54">
        <v>40</v>
      </c>
      <c r="I47" s="92">
        <f t="shared" ca="1" si="5"/>
        <v>-4.0100458878116405E-3</v>
      </c>
      <c r="J47" s="93">
        <f t="shared" ca="1" si="3"/>
        <v>5605946.6203963868</v>
      </c>
    </row>
    <row r="48" spans="1:10" ht="15.6" x14ac:dyDescent="0.3">
      <c r="A48" s="54">
        <v>41</v>
      </c>
      <c r="B48" s="92">
        <f t="shared" ca="1" si="4"/>
        <v>-4.3119670487182273E-3</v>
      </c>
      <c r="C48" s="94">
        <f t="shared" ca="1" si="2"/>
        <v>3222869.2072437289</v>
      </c>
      <c r="D48" s="51"/>
      <c r="E48" s="51"/>
      <c r="F48" s="51"/>
      <c r="G48" s="51"/>
      <c r="H48" s="54">
        <v>41</v>
      </c>
      <c r="I48" s="92">
        <f t="shared" ca="1" si="5"/>
        <v>-2.7100011148184023E-3</v>
      </c>
      <c r="J48" s="93">
        <f t="shared" ca="1" si="3"/>
        <v>5590754.4988054996</v>
      </c>
    </row>
    <row r="49" spans="1:10" ht="15.6" x14ac:dyDescent="0.3">
      <c r="A49" s="54">
        <v>42</v>
      </c>
      <c r="B49" s="92">
        <f t="shared" ca="1" si="4"/>
        <v>5.7395205459107512E-3</v>
      </c>
      <c r="C49" s="94">
        <f t="shared" ca="1" si="2"/>
        <v>3241366.9312754874</v>
      </c>
      <c r="D49" s="51"/>
      <c r="E49" s="51"/>
      <c r="F49" s="51"/>
      <c r="G49" s="51"/>
      <c r="H49" s="54">
        <v>42</v>
      </c>
      <c r="I49" s="92">
        <f t="shared" ca="1" si="5"/>
        <v>1.0869243466085927E-2</v>
      </c>
      <c r="J49" s="93">
        <f t="shared" ca="1" si="3"/>
        <v>5651521.7706121318</v>
      </c>
    </row>
    <row r="50" spans="1:10" ht="15.6" x14ac:dyDescent="0.3">
      <c r="A50" s="54">
        <v>43</v>
      </c>
      <c r="B50" s="92">
        <f t="shared" ca="1" si="4"/>
        <v>6.018806083156387E-3</v>
      </c>
      <c r="C50" s="94">
        <f t="shared" ca="1" si="2"/>
        <v>3260876.0902791899</v>
      </c>
      <c r="D50" s="51"/>
      <c r="E50" s="51"/>
      <c r="F50" s="51"/>
      <c r="G50" s="51"/>
      <c r="H50" s="54">
        <v>43</v>
      </c>
      <c r="I50" s="92">
        <f t="shared" ca="1" si="5"/>
        <v>-7.9194304809840788E-4</v>
      </c>
      <c r="J50" s="93">
        <f t="shared" ca="1" si="3"/>
        <v>5647046.0872347187</v>
      </c>
    </row>
    <row r="51" spans="1:10" ht="15.6" x14ac:dyDescent="0.3">
      <c r="A51" s="54">
        <v>44</v>
      </c>
      <c r="B51" s="92">
        <f t="shared" ca="1" si="4"/>
        <v>1.1738901704694743E-2</v>
      </c>
      <c r="C51" s="94">
        <f t="shared" ca="1" si="2"/>
        <v>3299155.1941741663</v>
      </c>
      <c r="D51" s="51"/>
      <c r="E51" s="51"/>
      <c r="F51" s="51"/>
      <c r="G51" s="51"/>
      <c r="H51" s="54">
        <v>44</v>
      </c>
      <c r="I51" s="92">
        <f t="shared" ca="1" si="5"/>
        <v>1.1407964040868298E-2</v>
      </c>
      <c r="J51" s="93">
        <f t="shared" ca="1" si="3"/>
        <v>5711467.3859350178</v>
      </c>
    </row>
    <row r="52" spans="1:10" ht="15.6" x14ac:dyDescent="0.3">
      <c r="A52" s="54">
        <v>45</v>
      </c>
      <c r="B52" s="92">
        <f t="shared" ca="1" si="4"/>
        <v>1.2727834924492632E-3</v>
      </c>
      <c r="C52" s="94">
        <f t="shared" ca="1" si="2"/>
        <v>3303354.3044443396</v>
      </c>
      <c r="D52" s="51"/>
      <c r="E52" s="51"/>
      <c r="F52" s="51"/>
      <c r="G52" s="51"/>
      <c r="H52" s="54">
        <v>45</v>
      </c>
      <c r="I52" s="92">
        <f t="shared" ca="1" si="5"/>
        <v>-3.5844919877096888E-3</v>
      </c>
      <c r="J52" s="93">
        <f t="shared" ca="1" si="3"/>
        <v>5690994.6768520689</v>
      </c>
    </row>
    <row r="53" spans="1:10" ht="15.6" x14ac:dyDescent="0.3">
      <c r="A53" s="54">
        <v>46</v>
      </c>
      <c r="B53" s="92">
        <f t="shared" ca="1" si="4"/>
        <v>-1.4557509068981473E-3</v>
      </c>
      <c r="C53" s="94">
        <f t="shared" ca="1" si="2"/>
        <v>3298545.4434198388</v>
      </c>
      <c r="D53" s="51"/>
      <c r="E53" s="51"/>
      <c r="F53" s="51"/>
      <c r="G53" s="51"/>
      <c r="H53" s="54">
        <v>46</v>
      </c>
      <c r="I53" s="92">
        <f t="shared" ca="1" si="5"/>
        <v>8.8472616044906228E-3</v>
      </c>
      <c r="J53" s="93">
        <f t="shared" ca="1" si="3"/>
        <v>5741344.3955479423</v>
      </c>
    </row>
    <row r="54" spans="1:10" ht="15.6" x14ac:dyDescent="0.3">
      <c r="A54" s="54">
        <v>47</v>
      </c>
      <c r="B54" s="92">
        <f t="shared" ca="1" si="4"/>
        <v>2.5708369508047673E-3</v>
      </c>
      <c r="C54" s="94">
        <f t="shared" ca="1" si="2"/>
        <v>3307025.4659296917</v>
      </c>
      <c r="D54" s="51"/>
      <c r="E54" s="51"/>
      <c r="F54" s="51"/>
      <c r="G54" s="51"/>
      <c r="H54" s="54">
        <v>47</v>
      </c>
      <c r="I54" s="92">
        <f t="shared" ca="1" si="5"/>
        <v>1.1378324046490723E-2</v>
      </c>
      <c r="J54" s="93">
        <f t="shared" ca="1" si="3"/>
        <v>5806671.2725429898</v>
      </c>
    </row>
    <row r="55" spans="1:10" ht="15.6" x14ac:dyDescent="0.3">
      <c r="A55" s="54">
        <v>48</v>
      </c>
      <c r="B55" s="92">
        <f t="shared" ca="1" si="4"/>
        <v>1.2308226787628673E-2</v>
      </c>
      <c r="C55" s="94">
        <f t="shared" ca="1" si="2"/>
        <v>3347729.0853568176</v>
      </c>
      <c r="D55" s="51"/>
      <c r="E55" s="51"/>
      <c r="F55" s="51"/>
      <c r="G55" s="51"/>
      <c r="H55" s="54">
        <v>48</v>
      </c>
      <c r="I55" s="92">
        <f t="shared" ca="1" si="5"/>
        <v>7.108195839958492E-3</v>
      </c>
      <c r="J55" s="93">
        <f t="shared" ca="1" si="3"/>
        <v>5847946.2291264869</v>
      </c>
    </row>
    <row r="56" spans="1:10" ht="15.6" x14ac:dyDescent="0.3">
      <c r="A56" s="54">
        <v>49</v>
      </c>
      <c r="B56" s="92">
        <f t="shared" ca="1" si="4"/>
        <v>1.3727226792053925E-2</v>
      </c>
      <c r="C56" s="94">
        <f t="shared" ca="1" si="2"/>
        <v>3393684.1217498658</v>
      </c>
      <c r="D56" s="51"/>
      <c r="E56" s="51"/>
      <c r="F56" s="51"/>
      <c r="G56" s="51"/>
      <c r="H56" s="54">
        <v>49</v>
      </c>
      <c r="I56" s="92">
        <f t="shared" ca="1" si="5"/>
        <v>2.0526249254657061E-3</v>
      </c>
      <c r="J56" s="93">
        <f t="shared" ca="1" si="3"/>
        <v>5859949.8693191754</v>
      </c>
    </row>
    <row r="57" spans="1:10" ht="15.6" x14ac:dyDescent="0.3">
      <c r="A57" s="54">
        <v>50</v>
      </c>
      <c r="B57" s="92">
        <f t="shared" ca="1" si="4"/>
        <v>3.3118391778935137E-3</v>
      </c>
      <c r="C57" s="94">
        <f t="shared" ca="1" si="2"/>
        <v>3404923.457781672</v>
      </c>
      <c r="D57" s="51"/>
      <c r="E57" s="51"/>
      <c r="F57" s="51"/>
      <c r="G57" s="51"/>
      <c r="H57" s="54">
        <v>50</v>
      </c>
      <c r="I57" s="92">
        <f t="shared" ca="1" si="5"/>
        <v>-3.1612632820552568E-3</v>
      </c>
      <c r="J57" s="93">
        <f t="shared" ca="1" si="3"/>
        <v>5841425.0249626124</v>
      </c>
    </row>
    <row r="58" spans="1:10" ht="15.6" x14ac:dyDescent="0.3">
      <c r="A58" s="54">
        <v>51</v>
      </c>
      <c r="B58" s="92">
        <f t="shared" ca="1" si="4"/>
        <v>-3.3051035028744498E-3</v>
      </c>
      <c r="C58" s="94">
        <f t="shared" ca="1" si="2"/>
        <v>3393669.8333343384</v>
      </c>
      <c r="D58" s="51"/>
      <c r="E58" s="51"/>
      <c r="F58" s="51"/>
      <c r="G58" s="51"/>
      <c r="H58" s="54">
        <v>51</v>
      </c>
      <c r="I58" s="92">
        <f t="shared" ca="1" si="5"/>
        <v>6.3070561862454523E-3</v>
      </c>
      <c r="J58" s="93">
        <f t="shared" ca="1" si="3"/>
        <v>5878267.2208027923</v>
      </c>
    </row>
    <row r="59" spans="1:10" ht="15.6" x14ac:dyDescent="0.3">
      <c r="A59" s="54">
        <v>52</v>
      </c>
      <c r="B59" s="92">
        <f t="shared" ca="1" si="4"/>
        <v>1.0456389328063805E-2</v>
      </c>
      <c r="C59" s="94">
        <f t="shared" ca="1" si="2"/>
        <v>3429155.3663625875</v>
      </c>
      <c r="D59" s="51"/>
      <c r="E59" s="51"/>
      <c r="F59" s="51"/>
      <c r="G59" s="51"/>
      <c r="H59" s="54">
        <v>52</v>
      </c>
      <c r="I59" s="92">
        <f t="shared" ca="1" si="5"/>
        <v>7.8083591684224409E-3</v>
      </c>
      <c r="J59" s="93">
        <f t="shared" ca="1" si="3"/>
        <v>5924166.8425507843</v>
      </c>
    </row>
    <row r="60" spans="1:10" ht="15.6" x14ac:dyDescent="0.3">
      <c r="A60" s="54">
        <v>53</v>
      </c>
      <c r="B60" s="92">
        <f t="shared" ca="1" si="4"/>
        <v>9.6302082422426542E-3</v>
      </c>
      <c r="C60" s="94">
        <f t="shared" ca="1" si="2"/>
        <v>3462178.846635663</v>
      </c>
      <c r="D60" s="51"/>
      <c r="E60" s="51"/>
      <c r="F60" s="51"/>
      <c r="G60" s="51"/>
      <c r="H60" s="54">
        <v>53</v>
      </c>
      <c r="I60" s="92">
        <f t="shared" ca="1" si="5"/>
        <v>7.4404898997580274E-3</v>
      </c>
      <c r="J60" s="93">
        <f t="shared" ca="1" si="3"/>
        <v>5968245.5461072642</v>
      </c>
    </row>
    <row r="61" spans="1:10" ht="15.6" x14ac:dyDescent="0.3">
      <c r="A61" s="54">
        <v>54</v>
      </c>
      <c r="B61" s="92">
        <f t="shared" ca="1" si="4"/>
        <v>6.4713481986305972E-3</v>
      </c>
      <c r="C61" s="94">
        <f t="shared" ca="1" si="2"/>
        <v>3484583.8114781752</v>
      </c>
      <c r="D61" s="51"/>
      <c r="E61" s="51"/>
      <c r="F61" s="51"/>
      <c r="G61" s="51"/>
      <c r="H61" s="54">
        <v>54</v>
      </c>
      <c r="I61" s="92">
        <f t="shared" ca="1" si="5"/>
        <v>-4.2408632230948517E-3</v>
      </c>
      <c r="J61" s="93">
        <f t="shared" ca="1" si="3"/>
        <v>5942935.0330643784</v>
      </c>
    </row>
    <row r="62" spans="1:10" ht="15.6" x14ac:dyDescent="0.3">
      <c r="A62" s="54">
        <v>55</v>
      </c>
      <c r="B62" s="92">
        <f t="shared" ca="1" si="4"/>
        <v>1.4366806461151318E-2</v>
      </c>
      <c r="C62" s="94">
        <f t="shared" ca="1" si="2"/>
        <v>3534646.1526953429</v>
      </c>
      <c r="D62" s="51"/>
      <c r="E62" s="51"/>
      <c r="F62" s="51"/>
      <c r="G62" s="51"/>
      <c r="H62" s="54">
        <v>55</v>
      </c>
      <c r="I62" s="92">
        <f t="shared" ca="1" si="5"/>
        <v>3.5201649095936158E-3</v>
      </c>
      <c r="J62" s="93">
        <f t="shared" ca="1" si="3"/>
        <v>5963855.144427767</v>
      </c>
    </row>
    <row r="63" spans="1:10" ht="15.6" x14ac:dyDescent="0.3">
      <c r="A63" s="54">
        <v>56</v>
      </c>
      <c r="B63" s="92">
        <f t="shared" ca="1" si="4"/>
        <v>3.4886718491757918E-3</v>
      </c>
      <c r="C63" s="94">
        <f t="shared" ca="1" si="2"/>
        <v>3546977.3732250487</v>
      </c>
      <c r="D63" s="51"/>
      <c r="E63" s="51"/>
      <c r="F63" s="51"/>
      <c r="G63" s="51"/>
      <c r="H63" s="54">
        <v>56</v>
      </c>
      <c r="I63" s="92">
        <f t="shared" ca="1" si="5"/>
        <v>-2.0043158807932335E-3</v>
      </c>
      <c r="J63" s="93">
        <f t="shared" ca="1" si="3"/>
        <v>5951901.6948510399</v>
      </c>
    </row>
    <row r="64" spans="1:10" ht="15.6" x14ac:dyDescent="0.3">
      <c r="A64" s="54">
        <v>57</v>
      </c>
      <c r="B64" s="92">
        <f t="shared" ca="1" si="4"/>
        <v>4.6023319132735855E-3</v>
      </c>
      <c r="C64" s="94">
        <f t="shared" ca="1" si="2"/>
        <v>3563301.7403855012</v>
      </c>
      <c r="D64" s="51"/>
      <c r="E64" s="51"/>
      <c r="F64" s="51"/>
      <c r="G64" s="51"/>
      <c r="H64" s="54">
        <v>57</v>
      </c>
      <c r="I64" s="92">
        <f t="shared" ca="1" si="5"/>
        <v>1.1811319799080186E-3</v>
      </c>
      <c r="J64" s="93">
        <f t="shared" ca="1" si="3"/>
        <v>5958931.6762840971</v>
      </c>
    </row>
    <row r="65" spans="1:10" ht="15.6" x14ac:dyDescent="0.3">
      <c r="A65" s="54">
        <v>58</v>
      </c>
      <c r="B65" s="92">
        <f t="shared" ca="1" si="4"/>
        <v>2.2234839922157679E-3</v>
      </c>
      <c r="C65" s="94">
        <f t="shared" ca="1" si="2"/>
        <v>3571224.6847646828</v>
      </c>
      <c r="D65" s="51"/>
      <c r="E65" s="51"/>
      <c r="F65" s="51"/>
      <c r="G65" s="51"/>
      <c r="H65" s="54">
        <v>58</v>
      </c>
      <c r="I65" s="92">
        <f t="shared" ca="1" si="5"/>
        <v>5.4255329891218689E-3</v>
      </c>
      <c r="J65" s="93">
        <f t="shared" ca="1" si="3"/>
        <v>5991262.0566737</v>
      </c>
    </row>
    <row r="66" spans="1:10" ht="15.6" x14ac:dyDescent="0.3">
      <c r="A66" s="54">
        <v>59</v>
      </c>
      <c r="B66" s="92">
        <f t="shared" ca="1" si="4"/>
        <v>4.7369999401117883E-3</v>
      </c>
      <c r="C66" s="94">
        <f t="shared" ca="1" si="2"/>
        <v>3588141.5758825392</v>
      </c>
      <c r="D66" s="51"/>
      <c r="E66" s="51"/>
      <c r="F66" s="51"/>
      <c r="G66" s="51"/>
      <c r="H66" s="54">
        <v>59</v>
      </c>
      <c r="I66" s="92">
        <f t="shared" ca="1" si="5"/>
        <v>4.6893654666810376E-3</v>
      </c>
      <c r="J66" s="93">
        <f t="shared" ca="1" si="3"/>
        <v>6019357.2740641022</v>
      </c>
    </row>
    <row r="67" spans="1:10" ht="15.6" x14ac:dyDescent="0.3">
      <c r="A67" s="54">
        <v>60</v>
      </c>
      <c r="B67" s="92">
        <f t="shared" ca="1" si="4"/>
        <v>-1.8545371746046969E-3</v>
      </c>
      <c r="C67" s="94">
        <f ca="1">C66*(1+B67)</f>
        <v>3581487.2339423201</v>
      </c>
      <c r="D67" s="51"/>
      <c r="E67" s="51"/>
      <c r="F67" s="51"/>
      <c r="G67" s="51"/>
      <c r="H67" s="54">
        <v>60</v>
      </c>
      <c r="I67" s="92">
        <f t="shared" ca="1" si="5"/>
        <v>1.7455591604967268E-3</v>
      </c>
      <c r="J67" s="93">
        <f t="shared" ca="1" si="3"/>
        <v>6029864.4182941476</v>
      </c>
    </row>
    <row r="68" spans="1:10" ht="15.6" x14ac:dyDescent="0.3">
      <c r="A68" s="55"/>
      <c r="B68" s="95">
        <f t="shared" ca="1" si="4"/>
        <v>3.8968509923481527E-3</v>
      </c>
      <c r="C68" s="96">
        <f ca="1">C67</f>
        <v>3581487.2339423201</v>
      </c>
      <c r="D68" s="51"/>
      <c r="E68" s="51"/>
      <c r="F68" s="51"/>
      <c r="G68" s="51"/>
      <c r="H68" s="55"/>
      <c r="I68" s="95">
        <f t="shared" ca="1" si="5"/>
        <v>8.7594372685043456E-3</v>
      </c>
      <c r="J68" s="97">
        <f ca="1">J67</f>
        <v>6029864.4182941476</v>
      </c>
    </row>
    <row r="70" spans="1:10" ht="15.6" x14ac:dyDescent="0.3">
      <c r="A70" s="88" t="s">
        <v>104</v>
      </c>
      <c r="H70" s="88" t="s">
        <v>104</v>
      </c>
    </row>
    <row r="71" spans="1:10" ht="15.6" x14ac:dyDescent="0.3">
      <c r="A71" s="89" t="s">
        <v>105</v>
      </c>
      <c r="B71" s="86">
        <f ca="1">C68</f>
        <v>3581487.2339423201</v>
      </c>
      <c r="H71" s="89" t="s">
        <v>105</v>
      </c>
      <c r="I71" s="86">
        <f ca="1">J68</f>
        <v>6029864.4182941476</v>
      </c>
    </row>
    <row r="72" spans="1:10" ht="15.6" x14ac:dyDescent="0.3">
      <c r="A72">
        <v>1</v>
      </c>
      <c r="B72" s="12">
        <f t="dataTable" ref="B72:B1071" dt2D="0" dtr="0" r1="B70" ca="1"/>
        <v>3335755.4161132192</v>
      </c>
      <c r="H72">
        <v>1</v>
      </c>
      <c r="I72" s="12">
        <f t="dataTable" ref="I72:I1071" dt2D="0" dtr="0" r1="I70" ca="1"/>
        <v>6069589.2115486115</v>
      </c>
    </row>
    <row r="73" spans="1:10" ht="15.6" x14ac:dyDescent="0.3">
      <c r="A73">
        <v>2</v>
      </c>
      <c r="B73" s="12">
        <v>3445321.1012391387</v>
      </c>
      <c r="H73">
        <v>2</v>
      </c>
      <c r="I73" s="12">
        <v>6130994.8350777021</v>
      </c>
    </row>
    <row r="74" spans="1:10" ht="15.6" x14ac:dyDescent="0.3">
      <c r="A74">
        <v>3</v>
      </c>
      <c r="B74" s="12">
        <v>3455577.0498547438</v>
      </c>
      <c r="H74">
        <v>3</v>
      </c>
      <c r="I74" s="12">
        <v>5992616.7547618141</v>
      </c>
    </row>
    <row r="75" spans="1:10" ht="15.6" x14ac:dyDescent="0.3">
      <c r="A75">
        <v>4</v>
      </c>
      <c r="B75" s="12">
        <v>3464898.4856701307</v>
      </c>
      <c r="H75">
        <v>4</v>
      </c>
      <c r="I75" s="12">
        <v>5980192.1358248284</v>
      </c>
    </row>
    <row r="76" spans="1:10" ht="15.6" x14ac:dyDescent="0.3">
      <c r="A76">
        <v>5</v>
      </c>
      <c r="B76" s="12">
        <v>3305744.5628644172</v>
      </c>
      <c r="H76">
        <v>5</v>
      </c>
      <c r="I76" s="12">
        <v>6389085.3837875798</v>
      </c>
    </row>
    <row r="77" spans="1:10" ht="15.6" x14ac:dyDescent="0.3">
      <c r="A77">
        <v>6</v>
      </c>
      <c r="B77" s="12">
        <v>3325218.530680506</v>
      </c>
      <c r="H77">
        <v>6</v>
      </c>
      <c r="I77" s="12">
        <v>6040117.8714036057</v>
      </c>
    </row>
    <row r="78" spans="1:10" ht="15.6" x14ac:dyDescent="0.3">
      <c r="A78">
        <v>7</v>
      </c>
      <c r="B78" s="12">
        <v>3514450.858841714</v>
      </c>
      <c r="H78">
        <v>7</v>
      </c>
      <c r="I78" s="12">
        <v>5959968.634784637</v>
      </c>
    </row>
    <row r="79" spans="1:10" ht="15.6" x14ac:dyDescent="0.3">
      <c r="A79">
        <v>8</v>
      </c>
      <c r="B79" s="12">
        <v>3456717.1164274486</v>
      </c>
      <c r="H79">
        <v>8</v>
      </c>
      <c r="I79" s="12">
        <v>6604306.3960894253</v>
      </c>
    </row>
    <row r="80" spans="1:10" ht="15.6" x14ac:dyDescent="0.3">
      <c r="A80">
        <v>9</v>
      </c>
      <c r="B80" s="12">
        <v>3389919.1255646721</v>
      </c>
      <c r="H80">
        <v>9</v>
      </c>
      <c r="I80" s="12">
        <v>5901596.8366256328</v>
      </c>
    </row>
    <row r="81" spans="1:9" ht="15.6" x14ac:dyDescent="0.3">
      <c r="A81">
        <v>10</v>
      </c>
      <c r="B81" s="12">
        <v>3721750.3967383923</v>
      </c>
      <c r="H81">
        <v>10</v>
      </c>
      <c r="I81" s="12">
        <v>6301385.545839807</v>
      </c>
    </row>
    <row r="82" spans="1:9" ht="15.6" x14ac:dyDescent="0.3">
      <c r="A82">
        <v>11</v>
      </c>
      <c r="B82" s="12">
        <v>3359402.8273451552</v>
      </c>
      <c r="H82">
        <v>11</v>
      </c>
      <c r="I82" s="12">
        <v>6365421.3761844421</v>
      </c>
    </row>
    <row r="83" spans="1:9" ht="15.6" x14ac:dyDescent="0.3">
      <c r="A83">
        <v>12</v>
      </c>
      <c r="B83" s="12">
        <v>3408814.5375557053</v>
      </c>
      <c r="H83">
        <v>12</v>
      </c>
      <c r="I83" s="12">
        <v>6470613.5727226464</v>
      </c>
    </row>
    <row r="84" spans="1:9" ht="15.6" x14ac:dyDescent="0.3">
      <c r="A84">
        <v>13</v>
      </c>
      <c r="B84" s="12">
        <v>3427497.6057668314</v>
      </c>
      <c r="H84">
        <v>13</v>
      </c>
      <c r="I84" s="12">
        <v>6321066.9542612005</v>
      </c>
    </row>
    <row r="85" spans="1:9" ht="15.6" x14ac:dyDescent="0.3">
      <c r="A85">
        <v>14</v>
      </c>
      <c r="B85" s="12">
        <v>3378744.9812173261</v>
      </c>
      <c r="H85">
        <v>14</v>
      </c>
      <c r="I85" s="12">
        <v>6298081.302361317</v>
      </c>
    </row>
    <row r="86" spans="1:9" ht="15.6" x14ac:dyDescent="0.3">
      <c r="A86">
        <v>15</v>
      </c>
      <c r="B86" s="12">
        <v>3346542.6711586653</v>
      </c>
      <c r="H86">
        <v>15</v>
      </c>
      <c r="I86" s="12">
        <v>6129505.9938291507</v>
      </c>
    </row>
    <row r="87" spans="1:9" ht="15.6" x14ac:dyDescent="0.3">
      <c r="A87">
        <v>16</v>
      </c>
      <c r="B87" s="12">
        <v>3432871.9391111727</v>
      </c>
      <c r="H87">
        <v>16</v>
      </c>
      <c r="I87" s="12">
        <v>6176783.2200165233</v>
      </c>
    </row>
    <row r="88" spans="1:9" ht="15.6" x14ac:dyDescent="0.3">
      <c r="A88">
        <v>17</v>
      </c>
      <c r="B88" s="12">
        <v>3387610.0491499109</v>
      </c>
      <c r="H88">
        <v>17</v>
      </c>
      <c r="I88" s="12">
        <v>5727906.6756834025</v>
      </c>
    </row>
    <row r="89" spans="1:9" ht="15.6" x14ac:dyDescent="0.3">
      <c r="A89">
        <v>18</v>
      </c>
      <c r="B89" s="12">
        <v>3729773.3442218471</v>
      </c>
      <c r="H89">
        <v>18</v>
      </c>
      <c r="I89" s="12">
        <v>5871394.8904707748</v>
      </c>
    </row>
    <row r="90" spans="1:9" ht="15.6" x14ac:dyDescent="0.3">
      <c r="A90">
        <v>19</v>
      </c>
      <c r="B90" s="12">
        <v>3499051.6668579155</v>
      </c>
      <c r="H90">
        <v>19</v>
      </c>
      <c r="I90" s="12">
        <v>6407149.4761579596</v>
      </c>
    </row>
    <row r="91" spans="1:9" ht="15.6" x14ac:dyDescent="0.3">
      <c r="A91">
        <v>20</v>
      </c>
      <c r="B91" s="12">
        <v>3731761.0591400717</v>
      </c>
      <c r="H91">
        <v>20</v>
      </c>
      <c r="I91" s="12">
        <v>6581744.851768557</v>
      </c>
    </row>
    <row r="92" spans="1:9" ht="15.6" x14ac:dyDescent="0.3">
      <c r="A92">
        <v>21</v>
      </c>
      <c r="B92" s="12">
        <v>3516154.2647437192</v>
      </c>
      <c r="H92">
        <v>21</v>
      </c>
      <c r="I92" s="12">
        <v>6184251.6723248567</v>
      </c>
    </row>
    <row r="93" spans="1:9" ht="15.6" x14ac:dyDescent="0.3">
      <c r="A93">
        <v>22</v>
      </c>
      <c r="B93" s="12">
        <v>3386116.9295100546</v>
      </c>
      <c r="H93">
        <v>22</v>
      </c>
      <c r="I93" s="12">
        <v>6544490.4711318528</v>
      </c>
    </row>
    <row r="94" spans="1:9" ht="15.6" x14ac:dyDescent="0.3">
      <c r="A94">
        <v>23</v>
      </c>
      <c r="B94" s="12">
        <v>3470097.092807665</v>
      </c>
      <c r="H94">
        <v>23</v>
      </c>
      <c r="I94" s="12">
        <v>6354575.8934234893</v>
      </c>
    </row>
    <row r="95" spans="1:9" ht="15.6" x14ac:dyDescent="0.3">
      <c r="A95">
        <v>24</v>
      </c>
      <c r="B95" s="12">
        <v>3232777.0574846519</v>
      </c>
      <c r="H95">
        <v>24</v>
      </c>
      <c r="I95" s="12">
        <v>6170236.511995757</v>
      </c>
    </row>
    <row r="96" spans="1:9" ht="15.6" x14ac:dyDescent="0.3">
      <c r="A96">
        <v>25</v>
      </c>
      <c r="B96" s="12">
        <v>3360175.2640421754</v>
      </c>
      <c r="H96">
        <v>25</v>
      </c>
      <c r="I96" s="12">
        <v>6102105.2708214344</v>
      </c>
    </row>
    <row r="97" spans="1:9" ht="15.6" x14ac:dyDescent="0.3">
      <c r="A97">
        <v>26</v>
      </c>
      <c r="B97" s="12">
        <v>3463723.717336467</v>
      </c>
      <c r="H97">
        <v>26</v>
      </c>
      <c r="I97" s="12">
        <v>6083367.4666633205</v>
      </c>
    </row>
    <row r="98" spans="1:9" ht="15.6" x14ac:dyDescent="0.3">
      <c r="A98">
        <v>27</v>
      </c>
      <c r="B98" s="12">
        <v>3584021.5419353773</v>
      </c>
      <c r="H98">
        <v>27</v>
      </c>
      <c r="I98" s="12">
        <v>6465752.8051355202</v>
      </c>
    </row>
    <row r="99" spans="1:9" ht="15.6" x14ac:dyDescent="0.3">
      <c r="A99">
        <v>28</v>
      </c>
      <c r="B99" s="12">
        <v>3569837.6100855395</v>
      </c>
      <c r="H99">
        <v>28</v>
      </c>
      <c r="I99" s="12">
        <v>6056798.2491833866</v>
      </c>
    </row>
    <row r="100" spans="1:9" ht="15.6" x14ac:dyDescent="0.3">
      <c r="A100">
        <v>29</v>
      </c>
      <c r="B100" s="12">
        <v>3472296.5666908496</v>
      </c>
      <c r="H100">
        <v>29</v>
      </c>
      <c r="I100" s="12">
        <v>5988077.1390649937</v>
      </c>
    </row>
    <row r="101" spans="1:9" ht="15.6" x14ac:dyDescent="0.3">
      <c r="A101">
        <v>30</v>
      </c>
      <c r="B101" s="12">
        <v>3409103.7655285331</v>
      </c>
      <c r="H101">
        <v>30</v>
      </c>
      <c r="I101" s="12">
        <v>6415853.9275233829</v>
      </c>
    </row>
    <row r="102" spans="1:9" ht="15.6" x14ac:dyDescent="0.3">
      <c r="A102">
        <v>31</v>
      </c>
      <c r="B102" s="12">
        <v>3530593.8438757663</v>
      </c>
      <c r="H102">
        <v>31</v>
      </c>
      <c r="I102" s="12">
        <v>5983154.4094840102</v>
      </c>
    </row>
    <row r="103" spans="1:9" ht="15.6" x14ac:dyDescent="0.3">
      <c r="A103">
        <v>32</v>
      </c>
      <c r="B103" s="12">
        <v>3325537.0803292776</v>
      </c>
      <c r="H103">
        <v>32</v>
      </c>
      <c r="I103" s="12">
        <v>5939035.1478101751</v>
      </c>
    </row>
    <row r="104" spans="1:9" ht="15.6" x14ac:dyDescent="0.3">
      <c r="A104">
        <v>33</v>
      </c>
      <c r="B104" s="12">
        <v>3392729.3052759697</v>
      </c>
      <c r="H104">
        <v>33</v>
      </c>
      <c r="I104" s="12">
        <v>6288563.6789029688</v>
      </c>
    </row>
    <row r="105" spans="1:9" ht="15.6" x14ac:dyDescent="0.3">
      <c r="A105">
        <v>34</v>
      </c>
      <c r="B105" s="12">
        <v>3720240.3586272867</v>
      </c>
      <c r="H105">
        <v>34</v>
      </c>
      <c r="I105" s="12">
        <v>6499067.4147652918</v>
      </c>
    </row>
    <row r="106" spans="1:9" ht="15.6" x14ac:dyDescent="0.3">
      <c r="A106">
        <v>35</v>
      </c>
      <c r="B106" s="12">
        <v>3422615.9411575659</v>
      </c>
      <c r="H106">
        <v>35</v>
      </c>
      <c r="I106" s="12">
        <v>6032050.3457465209</v>
      </c>
    </row>
    <row r="107" spans="1:9" ht="15.6" x14ac:dyDescent="0.3">
      <c r="A107">
        <v>36</v>
      </c>
      <c r="B107" s="12">
        <v>3621843.6562374909</v>
      </c>
      <c r="H107">
        <v>36</v>
      </c>
      <c r="I107" s="12">
        <v>6291331.2832434122</v>
      </c>
    </row>
    <row r="108" spans="1:9" ht="15.6" x14ac:dyDescent="0.3">
      <c r="A108">
        <v>37</v>
      </c>
      <c r="B108" s="12">
        <v>3566652.5033980552</v>
      </c>
      <c r="H108">
        <v>37</v>
      </c>
      <c r="I108" s="12">
        <v>6054379.2141126553</v>
      </c>
    </row>
    <row r="109" spans="1:9" ht="15.6" x14ac:dyDescent="0.3">
      <c r="A109">
        <v>38</v>
      </c>
      <c r="B109" s="12">
        <v>3337389.9450653731</v>
      </c>
      <c r="H109">
        <v>38</v>
      </c>
      <c r="I109" s="12">
        <v>6070232.4703234788</v>
      </c>
    </row>
    <row r="110" spans="1:9" ht="15.6" x14ac:dyDescent="0.3">
      <c r="A110">
        <v>39</v>
      </c>
      <c r="B110" s="12">
        <v>3584363.2900703014</v>
      </c>
      <c r="H110">
        <v>39</v>
      </c>
      <c r="I110" s="12">
        <v>6444547.7850335948</v>
      </c>
    </row>
    <row r="111" spans="1:9" ht="15.6" x14ac:dyDescent="0.3">
      <c r="A111">
        <v>40</v>
      </c>
      <c r="B111" s="12">
        <v>3438254.7775776358</v>
      </c>
      <c r="H111">
        <v>40</v>
      </c>
      <c r="I111" s="12">
        <v>5886505.6463346267</v>
      </c>
    </row>
    <row r="112" spans="1:9" ht="15.6" x14ac:dyDescent="0.3">
      <c r="A112">
        <v>41</v>
      </c>
      <c r="B112" s="12">
        <v>3367749.9876472764</v>
      </c>
      <c r="H112">
        <v>41</v>
      </c>
      <c r="I112" s="12">
        <v>5966258.2073267139</v>
      </c>
    </row>
    <row r="113" spans="1:9" ht="15.6" x14ac:dyDescent="0.3">
      <c r="A113">
        <v>42</v>
      </c>
      <c r="B113" s="12">
        <v>3448855.2550595687</v>
      </c>
      <c r="H113">
        <v>42</v>
      </c>
      <c r="I113" s="12">
        <v>6219101.4897157541</v>
      </c>
    </row>
    <row r="114" spans="1:9" ht="15.6" x14ac:dyDescent="0.3">
      <c r="A114">
        <v>43</v>
      </c>
      <c r="B114" s="12">
        <v>3343542.1291649146</v>
      </c>
      <c r="H114">
        <v>43</v>
      </c>
      <c r="I114" s="12">
        <v>6377126.9400494676</v>
      </c>
    </row>
    <row r="115" spans="1:9" ht="15.6" x14ac:dyDescent="0.3">
      <c r="A115">
        <v>44</v>
      </c>
      <c r="B115" s="12">
        <v>3334648.2084385967</v>
      </c>
      <c r="H115">
        <v>44</v>
      </c>
      <c r="I115" s="12">
        <v>6216255.6486627804</v>
      </c>
    </row>
    <row r="116" spans="1:9" ht="15.6" x14ac:dyDescent="0.3">
      <c r="A116">
        <v>45</v>
      </c>
      <c r="B116" s="12">
        <v>3729744.7164373104</v>
      </c>
      <c r="H116">
        <v>45</v>
      </c>
      <c r="I116" s="12">
        <v>6361875.9487029621</v>
      </c>
    </row>
    <row r="117" spans="1:9" ht="15.6" x14ac:dyDescent="0.3">
      <c r="A117">
        <v>46</v>
      </c>
      <c r="B117" s="12">
        <v>3585552.2743781041</v>
      </c>
      <c r="H117">
        <v>46</v>
      </c>
      <c r="I117" s="12">
        <v>6125292.0751809338</v>
      </c>
    </row>
    <row r="118" spans="1:9" ht="15.6" x14ac:dyDescent="0.3">
      <c r="A118">
        <v>47</v>
      </c>
      <c r="B118" s="12">
        <v>3378234.6627221932</v>
      </c>
      <c r="H118">
        <v>47</v>
      </c>
      <c r="I118" s="12">
        <v>6148000.602654824</v>
      </c>
    </row>
    <row r="119" spans="1:9" ht="15.6" x14ac:dyDescent="0.3">
      <c r="A119">
        <v>48</v>
      </c>
      <c r="B119" s="12">
        <v>3545229.0647420506</v>
      </c>
      <c r="H119">
        <v>48</v>
      </c>
      <c r="I119" s="12">
        <v>6544311.3634648854</v>
      </c>
    </row>
    <row r="120" spans="1:9" ht="15.6" x14ac:dyDescent="0.3">
      <c r="A120">
        <v>49</v>
      </c>
      <c r="B120" s="12">
        <v>3453078.2177056689</v>
      </c>
      <c r="H120">
        <v>49</v>
      </c>
      <c r="I120" s="12">
        <v>6422616.0621816162</v>
      </c>
    </row>
    <row r="121" spans="1:9" ht="15.6" x14ac:dyDescent="0.3">
      <c r="A121">
        <v>50</v>
      </c>
      <c r="B121" s="12">
        <v>3478457.1161540714</v>
      </c>
      <c r="H121">
        <v>50</v>
      </c>
      <c r="I121" s="12">
        <v>6542881.5982374325</v>
      </c>
    </row>
    <row r="122" spans="1:9" ht="15.6" x14ac:dyDescent="0.3">
      <c r="A122">
        <v>51</v>
      </c>
      <c r="B122" s="12">
        <v>3504788.3469951269</v>
      </c>
      <c r="H122">
        <v>51</v>
      </c>
      <c r="I122" s="12">
        <v>5866488.4205204509</v>
      </c>
    </row>
    <row r="123" spans="1:9" ht="15.6" x14ac:dyDescent="0.3">
      <c r="A123">
        <v>52</v>
      </c>
      <c r="B123" s="12">
        <v>3221636.7724770126</v>
      </c>
      <c r="H123">
        <v>52</v>
      </c>
      <c r="I123" s="12">
        <v>6216225.5283855451</v>
      </c>
    </row>
    <row r="124" spans="1:9" ht="15.6" x14ac:dyDescent="0.3">
      <c r="A124">
        <v>53</v>
      </c>
      <c r="B124" s="12">
        <v>3669442.0572384289</v>
      </c>
      <c r="H124">
        <v>53</v>
      </c>
      <c r="I124" s="12">
        <v>5693442.8635373665</v>
      </c>
    </row>
    <row r="125" spans="1:9" ht="15.6" x14ac:dyDescent="0.3">
      <c r="A125">
        <v>54</v>
      </c>
      <c r="B125" s="12">
        <v>3312273.7721572835</v>
      </c>
      <c r="H125">
        <v>54</v>
      </c>
      <c r="I125" s="12">
        <v>6148621.8938344661</v>
      </c>
    </row>
    <row r="126" spans="1:9" ht="15.6" x14ac:dyDescent="0.3">
      <c r="A126">
        <v>55</v>
      </c>
      <c r="B126" s="12">
        <v>3425246.7982280902</v>
      </c>
      <c r="H126">
        <v>55</v>
      </c>
      <c r="I126" s="12">
        <v>6184561.6608344195</v>
      </c>
    </row>
    <row r="127" spans="1:9" ht="15.6" x14ac:dyDescent="0.3">
      <c r="A127">
        <v>56</v>
      </c>
      <c r="B127" s="12">
        <v>3689627.4048027047</v>
      </c>
      <c r="H127">
        <v>56</v>
      </c>
      <c r="I127" s="12">
        <v>6387966.721504028</v>
      </c>
    </row>
    <row r="128" spans="1:9" ht="15.6" x14ac:dyDescent="0.3">
      <c r="A128">
        <v>57</v>
      </c>
      <c r="B128" s="12">
        <v>3255358.289643785</v>
      </c>
      <c r="H128">
        <v>57</v>
      </c>
      <c r="I128" s="12">
        <v>5955006.4503710931</v>
      </c>
    </row>
    <row r="129" spans="1:9" ht="15.6" x14ac:dyDescent="0.3">
      <c r="A129">
        <v>58</v>
      </c>
      <c r="B129" s="12">
        <v>3798558.6623315448</v>
      </c>
      <c r="H129">
        <v>58</v>
      </c>
      <c r="I129" s="12">
        <v>5924103.2242437713</v>
      </c>
    </row>
    <row r="130" spans="1:9" ht="15.6" x14ac:dyDescent="0.3">
      <c r="A130">
        <v>59</v>
      </c>
      <c r="B130" s="12">
        <v>3290843.4304177915</v>
      </c>
      <c r="H130">
        <v>59</v>
      </c>
      <c r="I130" s="12">
        <v>6055628.0954852253</v>
      </c>
    </row>
    <row r="131" spans="1:9" ht="15.6" x14ac:dyDescent="0.3">
      <c r="A131">
        <v>60</v>
      </c>
      <c r="B131" s="12">
        <v>3078131.4028653787</v>
      </c>
      <c r="H131">
        <v>60</v>
      </c>
      <c r="I131" s="12">
        <v>6553686.674544774</v>
      </c>
    </row>
    <row r="132" spans="1:9" ht="15.6" x14ac:dyDescent="0.3">
      <c r="A132">
        <v>61</v>
      </c>
      <c r="B132" s="12">
        <v>3291448.8757539554</v>
      </c>
      <c r="H132">
        <v>61</v>
      </c>
      <c r="I132" s="12">
        <v>6251485.8313907972</v>
      </c>
    </row>
    <row r="133" spans="1:9" ht="15.6" x14ac:dyDescent="0.3">
      <c r="A133">
        <v>62</v>
      </c>
      <c r="B133" s="12">
        <v>3333884.2342764786</v>
      </c>
      <c r="H133">
        <v>62</v>
      </c>
      <c r="I133" s="12">
        <v>5914351.8174764914</v>
      </c>
    </row>
    <row r="134" spans="1:9" ht="15.6" x14ac:dyDescent="0.3">
      <c r="A134">
        <v>63</v>
      </c>
      <c r="B134" s="12">
        <v>3458992.6905823122</v>
      </c>
      <c r="H134">
        <v>63</v>
      </c>
      <c r="I134" s="12">
        <v>5941996.1874254243</v>
      </c>
    </row>
    <row r="135" spans="1:9" ht="15.6" x14ac:dyDescent="0.3">
      <c r="A135">
        <v>64</v>
      </c>
      <c r="B135" s="12">
        <v>3551584.8930109367</v>
      </c>
      <c r="H135">
        <v>64</v>
      </c>
      <c r="I135" s="12">
        <v>6288711.1796901682</v>
      </c>
    </row>
    <row r="136" spans="1:9" ht="15.6" x14ac:dyDescent="0.3">
      <c r="A136">
        <v>65</v>
      </c>
      <c r="B136" s="12">
        <v>3667366.7626438718</v>
      </c>
      <c r="H136">
        <v>65</v>
      </c>
      <c r="I136" s="12">
        <v>6411579.7713085003</v>
      </c>
    </row>
    <row r="137" spans="1:9" ht="15.6" x14ac:dyDescent="0.3">
      <c r="A137">
        <v>66</v>
      </c>
      <c r="B137" s="12">
        <v>3391023.2108857878</v>
      </c>
      <c r="H137">
        <v>66</v>
      </c>
      <c r="I137" s="12">
        <v>6161186.53109127</v>
      </c>
    </row>
    <row r="138" spans="1:9" ht="15.6" x14ac:dyDescent="0.3">
      <c r="A138">
        <v>67</v>
      </c>
      <c r="B138" s="12">
        <v>3453885.4256285531</v>
      </c>
      <c r="H138">
        <v>67</v>
      </c>
      <c r="I138" s="12">
        <v>5920789.2244407441</v>
      </c>
    </row>
    <row r="139" spans="1:9" ht="15.6" x14ac:dyDescent="0.3">
      <c r="A139">
        <v>68</v>
      </c>
      <c r="B139" s="12">
        <v>3493810.0097916392</v>
      </c>
      <c r="H139">
        <v>68</v>
      </c>
      <c r="I139" s="12">
        <v>5951651.7483115662</v>
      </c>
    </row>
    <row r="140" spans="1:9" ht="15.6" x14ac:dyDescent="0.3">
      <c r="A140">
        <v>69</v>
      </c>
      <c r="B140" s="12">
        <v>3327860.2436009217</v>
      </c>
      <c r="H140">
        <v>69</v>
      </c>
      <c r="I140" s="12">
        <v>6347274.365816175</v>
      </c>
    </row>
    <row r="141" spans="1:9" ht="15.6" x14ac:dyDescent="0.3">
      <c r="A141">
        <v>70</v>
      </c>
      <c r="B141" s="12">
        <v>3351510.0179053643</v>
      </c>
      <c r="H141">
        <v>70</v>
      </c>
      <c r="I141" s="12">
        <v>6133712.1345431674</v>
      </c>
    </row>
    <row r="142" spans="1:9" ht="15.6" x14ac:dyDescent="0.3">
      <c r="A142">
        <v>71</v>
      </c>
      <c r="B142" s="12">
        <v>3195282.3557537994</v>
      </c>
      <c r="H142">
        <v>71</v>
      </c>
      <c r="I142" s="12">
        <v>6396303.2656225832</v>
      </c>
    </row>
    <row r="143" spans="1:9" ht="15.6" x14ac:dyDescent="0.3">
      <c r="A143">
        <v>72</v>
      </c>
      <c r="B143" s="12">
        <v>3452465.7955249446</v>
      </c>
      <c r="H143">
        <v>72</v>
      </c>
      <c r="I143" s="12">
        <v>6054593.2364913998</v>
      </c>
    </row>
    <row r="144" spans="1:9" ht="15.6" x14ac:dyDescent="0.3">
      <c r="A144">
        <v>73</v>
      </c>
      <c r="B144" s="12">
        <v>3414723.977897468</v>
      </c>
      <c r="H144">
        <v>73</v>
      </c>
      <c r="I144" s="12">
        <v>6320981.000883542</v>
      </c>
    </row>
    <row r="145" spans="1:9" ht="15.6" x14ac:dyDescent="0.3">
      <c r="A145">
        <v>74</v>
      </c>
      <c r="B145" s="12">
        <v>3272517.0049730442</v>
      </c>
      <c r="H145">
        <v>74</v>
      </c>
      <c r="I145" s="12">
        <v>6351250.7869140487</v>
      </c>
    </row>
    <row r="146" spans="1:9" ht="15.6" x14ac:dyDescent="0.3">
      <c r="A146">
        <v>75</v>
      </c>
      <c r="B146" s="12">
        <v>3484705.8148377659</v>
      </c>
      <c r="H146">
        <v>75</v>
      </c>
      <c r="I146" s="12">
        <v>6154408.1987517914</v>
      </c>
    </row>
    <row r="147" spans="1:9" ht="15.6" x14ac:dyDescent="0.3">
      <c r="A147">
        <v>76</v>
      </c>
      <c r="B147" s="12">
        <v>3605398.4498198875</v>
      </c>
      <c r="H147">
        <v>76</v>
      </c>
      <c r="I147" s="12">
        <v>6063357.4003466638</v>
      </c>
    </row>
    <row r="148" spans="1:9" ht="15.6" x14ac:dyDescent="0.3">
      <c r="A148">
        <v>77</v>
      </c>
      <c r="B148" s="12">
        <v>3638281.8620620053</v>
      </c>
      <c r="H148">
        <v>77</v>
      </c>
      <c r="I148" s="12">
        <v>6149231.148227457</v>
      </c>
    </row>
    <row r="149" spans="1:9" ht="15.6" x14ac:dyDescent="0.3">
      <c r="A149">
        <v>78</v>
      </c>
      <c r="B149" s="12">
        <v>3526231.2046483723</v>
      </c>
      <c r="H149">
        <v>78</v>
      </c>
      <c r="I149" s="12">
        <v>5904485.5218980545</v>
      </c>
    </row>
    <row r="150" spans="1:9" ht="15.6" x14ac:dyDescent="0.3">
      <c r="A150">
        <v>79</v>
      </c>
      <c r="B150" s="12">
        <v>3294060.3263518955</v>
      </c>
      <c r="H150">
        <v>79</v>
      </c>
      <c r="I150" s="12">
        <v>5958043.003689806</v>
      </c>
    </row>
    <row r="151" spans="1:9" ht="15.6" x14ac:dyDescent="0.3">
      <c r="A151">
        <v>80</v>
      </c>
      <c r="B151" s="12">
        <v>3378727.3473034818</v>
      </c>
      <c r="H151">
        <v>80</v>
      </c>
      <c r="I151" s="12">
        <v>5729336.2012526263</v>
      </c>
    </row>
    <row r="152" spans="1:9" ht="15.6" x14ac:dyDescent="0.3">
      <c r="A152">
        <v>81</v>
      </c>
      <c r="B152" s="12">
        <v>3698203.2444822709</v>
      </c>
      <c r="H152">
        <v>81</v>
      </c>
      <c r="I152" s="12">
        <v>6086017.1805585111</v>
      </c>
    </row>
    <row r="153" spans="1:9" ht="15.6" x14ac:dyDescent="0.3">
      <c r="A153">
        <v>82</v>
      </c>
      <c r="B153" s="12">
        <v>3520503.955091665</v>
      </c>
      <c r="H153">
        <v>82</v>
      </c>
      <c r="I153" s="12">
        <v>6200302.651162331</v>
      </c>
    </row>
    <row r="154" spans="1:9" ht="15.6" x14ac:dyDescent="0.3">
      <c r="A154">
        <v>83</v>
      </c>
      <c r="B154" s="12">
        <v>3399150.8335536481</v>
      </c>
      <c r="H154">
        <v>83</v>
      </c>
      <c r="I154" s="12">
        <v>6235073.0425934661</v>
      </c>
    </row>
    <row r="155" spans="1:9" ht="15.6" x14ac:dyDescent="0.3">
      <c r="A155">
        <v>84</v>
      </c>
      <c r="B155" s="12">
        <v>3828175.0288264221</v>
      </c>
      <c r="H155">
        <v>84</v>
      </c>
      <c r="I155" s="12">
        <v>5786741.3044691365</v>
      </c>
    </row>
    <row r="156" spans="1:9" ht="15.6" x14ac:dyDescent="0.3">
      <c r="A156">
        <v>85</v>
      </c>
      <c r="B156" s="12">
        <v>3408071.8182252743</v>
      </c>
      <c r="H156">
        <v>85</v>
      </c>
      <c r="I156" s="12">
        <v>5856711.9417384695</v>
      </c>
    </row>
    <row r="157" spans="1:9" ht="15.6" x14ac:dyDescent="0.3">
      <c r="A157">
        <v>86</v>
      </c>
      <c r="B157" s="12">
        <v>3328061.25432429</v>
      </c>
      <c r="H157">
        <v>86</v>
      </c>
      <c r="I157" s="12">
        <v>6069049.7347614309</v>
      </c>
    </row>
    <row r="158" spans="1:9" ht="15.6" x14ac:dyDescent="0.3">
      <c r="A158">
        <v>87</v>
      </c>
      <c r="B158" s="12">
        <v>3574864.1440878925</v>
      </c>
      <c r="H158">
        <v>87</v>
      </c>
      <c r="I158" s="12">
        <v>6179470.959564372</v>
      </c>
    </row>
    <row r="159" spans="1:9" ht="15.6" x14ac:dyDescent="0.3">
      <c r="A159">
        <v>88</v>
      </c>
      <c r="B159" s="12">
        <v>3360990.5338076991</v>
      </c>
      <c r="H159">
        <v>88</v>
      </c>
      <c r="I159" s="12">
        <v>6315646.8405469041</v>
      </c>
    </row>
    <row r="160" spans="1:9" ht="15.6" x14ac:dyDescent="0.3">
      <c r="A160">
        <v>89</v>
      </c>
      <c r="B160" s="12">
        <v>3780778.9058201439</v>
      </c>
      <c r="H160">
        <v>89</v>
      </c>
      <c r="I160" s="12">
        <v>5863418.7877428075</v>
      </c>
    </row>
    <row r="161" spans="1:9" ht="15.6" x14ac:dyDescent="0.3">
      <c r="A161">
        <v>90</v>
      </c>
      <c r="B161" s="12">
        <v>3359135.7263135691</v>
      </c>
      <c r="H161">
        <v>90</v>
      </c>
      <c r="I161" s="12">
        <v>6500546.4365217509</v>
      </c>
    </row>
    <row r="162" spans="1:9" ht="15.6" x14ac:dyDescent="0.3">
      <c r="A162">
        <v>91</v>
      </c>
      <c r="B162" s="12">
        <v>3512608.7750988924</v>
      </c>
      <c r="H162">
        <v>91</v>
      </c>
      <c r="I162" s="12">
        <v>5757031.1648392845</v>
      </c>
    </row>
    <row r="163" spans="1:9" ht="15.6" x14ac:dyDescent="0.3">
      <c r="A163">
        <v>92</v>
      </c>
      <c r="B163" s="12">
        <v>3360855.3687792928</v>
      </c>
      <c r="H163">
        <v>92</v>
      </c>
      <c r="I163" s="12">
        <v>6424178.5399531797</v>
      </c>
    </row>
    <row r="164" spans="1:9" ht="15.6" x14ac:dyDescent="0.3">
      <c r="A164">
        <v>93</v>
      </c>
      <c r="B164" s="12">
        <v>3636500.0186159345</v>
      </c>
      <c r="H164">
        <v>93</v>
      </c>
      <c r="I164" s="12">
        <v>6223868.2170490455</v>
      </c>
    </row>
    <row r="165" spans="1:9" ht="15.6" x14ac:dyDescent="0.3">
      <c r="A165">
        <v>94</v>
      </c>
      <c r="B165" s="12">
        <v>3469168.4290515571</v>
      </c>
      <c r="H165">
        <v>94</v>
      </c>
      <c r="I165" s="12">
        <v>6418672.1556858169</v>
      </c>
    </row>
    <row r="166" spans="1:9" ht="15.6" x14ac:dyDescent="0.3">
      <c r="A166">
        <v>95</v>
      </c>
      <c r="B166" s="12">
        <v>3203662.2050226559</v>
      </c>
      <c r="H166">
        <v>95</v>
      </c>
      <c r="I166" s="12">
        <v>6071017.4332646923</v>
      </c>
    </row>
    <row r="167" spans="1:9" ht="15.6" x14ac:dyDescent="0.3">
      <c r="A167">
        <v>96</v>
      </c>
      <c r="B167" s="12">
        <v>3489546.4655056722</v>
      </c>
      <c r="H167">
        <v>96</v>
      </c>
      <c r="I167" s="12">
        <v>6172098.2689604601</v>
      </c>
    </row>
    <row r="168" spans="1:9" ht="15.6" x14ac:dyDescent="0.3">
      <c r="A168">
        <v>97</v>
      </c>
      <c r="B168" s="12">
        <v>3631644.038941002</v>
      </c>
      <c r="H168">
        <v>97</v>
      </c>
      <c r="I168" s="12">
        <v>6427709.123663608</v>
      </c>
    </row>
    <row r="169" spans="1:9" ht="15.6" x14ac:dyDescent="0.3">
      <c r="A169">
        <v>98</v>
      </c>
      <c r="B169" s="12">
        <v>3508151.3653022856</v>
      </c>
      <c r="H169">
        <v>98</v>
      </c>
      <c r="I169" s="12">
        <v>6268369.4897910673</v>
      </c>
    </row>
    <row r="170" spans="1:9" ht="15.6" x14ac:dyDescent="0.3">
      <c r="A170">
        <v>99</v>
      </c>
      <c r="B170" s="12">
        <v>3672602.1367123541</v>
      </c>
      <c r="H170">
        <v>99</v>
      </c>
      <c r="I170" s="12">
        <v>6147228.7811820302</v>
      </c>
    </row>
    <row r="171" spans="1:9" ht="15.6" x14ac:dyDescent="0.3">
      <c r="A171">
        <v>100</v>
      </c>
      <c r="B171" s="12">
        <v>3501161.3408213193</v>
      </c>
      <c r="H171">
        <v>100</v>
      </c>
      <c r="I171" s="12">
        <v>6137225.8131011985</v>
      </c>
    </row>
    <row r="172" spans="1:9" ht="15.6" x14ac:dyDescent="0.3">
      <c r="A172">
        <v>101</v>
      </c>
      <c r="B172" s="12">
        <v>3575886.7159700263</v>
      </c>
      <c r="H172">
        <v>101</v>
      </c>
      <c r="I172" s="12">
        <v>6172234.228572065</v>
      </c>
    </row>
    <row r="173" spans="1:9" ht="15.6" x14ac:dyDescent="0.3">
      <c r="A173">
        <v>102</v>
      </c>
      <c r="B173" s="12">
        <v>3456722.191607025</v>
      </c>
      <c r="H173">
        <v>102</v>
      </c>
      <c r="I173" s="12">
        <v>6332209.6452895794</v>
      </c>
    </row>
    <row r="174" spans="1:9" ht="15.6" x14ac:dyDescent="0.3">
      <c r="A174">
        <v>103</v>
      </c>
      <c r="B174" s="12">
        <v>3366164.2825980522</v>
      </c>
      <c r="H174">
        <v>103</v>
      </c>
      <c r="I174" s="12">
        <v>6345373.2559814379</v>
      </c>
    </row>
    <row r="175" spans="1:9" ht="15.6" x14ac:dyDescent="0.3">
      <c r="A175">
        <v>104</v>
      </c>
      <c r="B175" s="12">
        <v>3344739.6900797687</v>
      </c>
      <c r="H175">
        <v>104</v>
      </c>
      <c r="I175" s="12">
        <v>6171802.2855667518</v>
      </c>
    </row>
    <row r="176" spans="1:9" ht="15.6" x14ac:dyDescent="0.3">
      <c r="A176">
        <v>105</v>
      </c>
      <c r="B176" s="12">
        <v>3436181.1829058826</v>
      </c>
      <c r="H176">
        <v>105</v>
      </c>
      <c r="I176" s="12">
        <v>5890780.8582768915</v>
      </c>
    </row>
    <row r="177" spans="1:9" ht="15.6" x14ac:dyDescent="0.3">
      <c r="A177">
        <v>106</v>
      </c>
      <c r="B177" s="12">
        <v>3439252.6335928491</v>
      </c>
      <c r="H177">
        <v>106</v>
      </c>
      <c r="I177" s="12">
        <v>5854664.0132050719</v>
      </c>
    </row>
    <row r="178" spans="1:9" ht="15.6" x14ac:dyDescent="0.3">
      <c r="A178">
        <v>107</v>
      </c>
      <c r="B178" s="12">
        <v>3419267.1082154191</v>
      </c>
      <c r="H178">
        <v>107</v>
      </c>
      <c r="I178" s="12">
        <v>6285707.8672606274</v>
      </c>
    </row>
    <row r="179" spans="1:9" ht="15.6" x14ac:dyDescent="0.3">
      <c r="A179">
        <v>108</v>
      </c>
      <c r="B179" s="12">
        <v>3218820.7481822819</v>
      </c>
      <c r="H179">
        <v>108</v>
      </c>
      <c r="I179" s="12">
        <v>6046052.7429321781</v>
      </c>
    </row>
    <row r="180" spans="1:9" ht="15.6" x14ac:dyDescent="0.3">
      <c r="A180">
        <v>109</v>
      </c>
      <c r="B180" s="12">
        <v>3409347.6767258886</v>
      </c>
      <c r="H180">
        <v>109</v>
      </c>
      <c r="I180" s="12">
        <v>6193524.1647814242</v>
      </c>
    </row>
    <row r="181" spans="1:9" ht="15.6" x14ac:dyDescent="0.3">
      <c r="A181">
        <v>110</v>
      </c>
      <c r="B181" s="12">
        <v>3717066.2962076087</v>
      </c>
      <c r="H181">
        <v>110</v>
      </c>
      <c r="I181" s="12">
        <v>6108348.1781551288</v>
      </c>
    </row>
    <row r="182" spans="1:9" ht="15.6" x14ac:dyDescent="0.3">
      <c r="A182">
        <v>111</v>
      </c>
      <c r="B182" s="12">
        <v>3266875.1447960469</v>
      </c>
      <c r="H182">
        <v>111</v>
      </c>
      <c r="I182" s="12">
        <v>5805834.6402148763</v>
      </c>
    </row>
    <row r="183" spans="1:9" ht="15.6" x14ac:dyDescent="0.3">
      <c r="A183">
        <v>112</v>
      </c>
      <c r="B183" s="12">
        <v>3648322.9452177812</v>
      </c>
      <c r="H183">
        <v>112</v>
      </c>
      <c r="I183" s="12">
        <v>6110479.2618470946</v>
      </c>
    </row>
    <row r="184" spans="1:9" ht="15.6" x14ac:dyDescent="0.3">
      <c r="A184">
        <v>113</v>
      </c>
      <c r="B184" s="12">
        <v>3468648.8588245292</v>
      </c>
      <c r="H184">
        <v>113</v>
      </c>
      <c r="I184" s="12">
        <v>6480806.9285167167</v>
      </c>
    </row>
    <row r="185" spans="1:9" ht="15.6" x14ac:dyDescent="0.3">
      <c r="A185">
        <v>114</v>
      </c>
      <c r="B185" s="12">
        <v>3355472.9041781393</v>
      </c>
      <c r="H185">
        <v>114</v>
      </c>
      <c r="I185" s="12">
        <v>6150046.481625746</v>
      </c>
    </row>
    <row r="186" spans="1:9" ht="15.6" x14ac:dyDescent="0.3">
      <c r="A186">
        <v>115</v>
      </c>
      <c r="B186" s="12">
        <v>3641077.6836386193</v>
      </c>
      <c r="H186">
        <v>115</v>
      </c>
      <c r="I186" s="12">
        <v>6426153.7277037827</v>
      </c>
    </row>
    <row r="187" spans="1:9" ht="15.6" x14ac:dyDescent="0.3">
      <c r="A187">
        <v>116</v>
      </c>
      <c r="B187" s="12">
        <v>3413953.4014403424</v>
      </c>
      <c r="H187">
        <v>116</v>
      </c>
      <c r="I187" s="12">
        <v>6491512.0743948566</v>
      </c>
    </row>
    <row r="188" spans="1:9" ht="15.6" x14ac:dyDescent="0.3">
      <c r="A188">
        <v>117</v>
      </c>
      <c r="B188" s="12">
        <v>3690048.4109788253</v>
      </c>
      <c r="H188">
        <v>117</v>
      </c>
      <c r="I188" s="12">
        <v>6168837.7051783884</v>
      </c>
    </row>
    <row r="189" spans="1:9" ht="15.6" x14ac:dyDescent="0.3">
      <c r="A189">
        <v>118</v>
      </c>
      <c r="B189" s="12">
        <v>3552340.9523993297</v>
      </c>
      <c r="H189">
        <v>118</v>
      </c>
      <c r="I189" s="12">
        <v>6155806.0981365638</v>
      </c>
    </row>
    <row r="190" spans="1:9" ht="15.6" x14ac:dyDescent="0.3">
      <c r="A190">
        <v>119</v>
      </c>
      <c r="B190" s="12">
        <v>3460632.8727427823</v>
      </c>
      <c r="H190">
        <v>119</v>
      </c>
      <c r="I190" s="12">
        <v>6194551.2177591799</v>
      </c>
    </row>
    <row r="191" spans="1:9" ht="15.6" x14ac:dyDescent="0.3">
      <c r="A191">
        <v>120</v>
      </c>
      <c r="B191" s="12">
        <v>3573707.4623982785</v>
      </c>
      <c r="H191">
        <v>120</v>
      </c>
      <c r="I191" s="12">
        <v>6380516.9704475896</v>
      </c>
    </row>
    <row r="192" spans="1:9" ht="15.6" x14ac:dyDescent="0.3">
      <c r="A192">
        <v>121</v>
      </c>
      <c r="B192" s="12">
        <v>3425581.6261449708</v>
      </c>
      <c r="H192">
        <v>121</v>
      </c>
      <c r="I192" s="12">
        <v>5995968.158024583</v>
      </c>
    </row>
    <row r="193" spans="1:9" ht="15.6" x14ac:dyDescent="0.3">
      <c r="A193">
        <v>122</v>
      </c>
      <c r="B193" s="12">
        <v>3321951.6297604055</v>
      </c>
      <c r="H193">
        <v>122</v>
      </c>
      <c r="I193" s="12">
        <v>6235487.2944546221</v>
      </c>
    </row>
    <row r="194" spans="1:9" ht="15.6" x14ac:dyDescent="0.3">
      <c r="A194">
        <v>123</v>
      </c>
      <c r="B194" s="12">
        <v>3539907.8495117882</v>
      </c>
      <c r="H194">
        <v>123</v>
      </c>
      <c r="I194" s="12">
        <v>6379846.7043770198</v>
      </c>
    </row>
    <row r="195" spans="1:9" ht="15.6" x14ac:dyDescent="0.3">
      <c r="A195">
        <v>124</v>
      </c>
      <c r="B195" s="12">
        <v>3263256.9531689435</v>
      </c>
      <c r="H195">
        <v>124</v>
      </c>
      <c r="I195" s="12">
        <v>6044227.209948102</v>
      </c>
    </row>
    <row r="196" spans="1:9" ht="15.6" x14ac:dyDescent="0.3">
      <c r="A196">
        <v>125</v>
      </c>
      <c r="B196" s="12">
        <v>3254437.6546148062</v>
      </c>
      <c r="H196">
        <v>125</v>
      </c>
      <c r="I196" s="12">
        <v>6653445.3701714789</v>
      </c>
    </row>
    <row r="197" spans="1:9" ht="15.6" x14ac:dyDescent="0.3">
      <c r="A197">
        <v>126</v>
      </c>
      <c r="B197" s="12">
        <v>3567483.3739486886</v>
      </c>
      <c r="H197">
        <v>126</v>
      </c>
      <c r="I197" s="12">
        <v>5926975.924957253</v>
      </c>
    </row>
    <row r="198" spans="1:9" ht="15.6" x14ac:dyDescent="0.3">
      <c r="A198">
        <v>127</v>
      </c>
      <c r="B198" s="12">
        <v>3451088.0759488991</v>
      </c>
      <c r="H198">
        <v>127</v>
      </c>
      <c r="I198" s="12">
        <v>5915685.3269967707</v>
      </c>
    </row>
    <row r="199" spans="1:9" ht="15.6" x14ac:dyDescent="0.3">
      <c r="A199">
        <v>128</v>
      </c>
      <c r="B199" s="12">
        <v>3493898.1926245098</v>
      </c>
      <c r="H199">
        <v>128</v>
      </c>
      <c r="I199" s="12">
        <v>6366571.2358591026</v>
      </c>
    </row>
    <row r="200" spans="1:9" ht="15.6" x14ac:dyDescent="0.3">
      <c r="A200">
        <v>129</v>
      </c>
      <c r="B200" s="12">
        <v>3339103.6547273188</v>
      </c>
      <c r="H200">
        <v>129</v>
      </c>
      <c r="I200" s="12">
        <v>6006109.0182981873</v>
      </c>
    </row>
    <row r="201" spans="1:9" ht="15.6" x14ac:dyDescent="0.3">
      <c r="A201">
        <v>130</v>
      </c>
      <c r="B201" s="12">
        <v>3192664.7922574864</v>
      </c>
      <c r="H201">
        <v>130</v>
      </c>
      <c r="I201" s="12">
        <v>6293845.6148530198</v>
      </c>
    </row>
    <row r="202" spans="1:9" ht="15.6" x14ac:dyDescent="0.3">
      <c r="A202">
        <v>131</v>
      </c>
      <c r="B202" s="12">
        <v>3444944.6871017278</v>
      </c>
      <c r="H202">
        <v>131</v>
      </c>
      <c r="I202" s="12">
        <v>6364784.9001083104</v>
      </c>
    </row>
    <row r="203" spans="1:9" ht="15.6" x14ac:dyDescent="0.3">
      <c r="A203">
        <v>132</v>
      </c>
      <c r="B203" s="12">
        <v>3556519.494941263</v>
      </c>
      <c r="H203">
        <v>132</v>
      </c>
      <c r="I203" s="12">
        <v>5730829.1657523531</v>
      </c>
    </row>
    <row r="204" spans="1:9" ht="15.6" x14ac:dyDescent="0.3">
      <c r="A204">
        <v>133</v>
      </c>
      <c r="B204" s="12">
        <v>3561356.9677403695</v>
      </c>
      <c r="H204">
        <v>133</v>
      </c>
      <c r="I204" s="12">
        <v>6264581.3643949479</v>
      </c>
    </row>
    <row r="205" spans="1:9" ht="15.6" x14ac:dyDescent="0.3">
      <c r="A205">
        <v>134</v>
      </c>
      <c r="B205" s="12">
        <v>3391073.2869749726</v>
      </c>
      <c r="H205">
        <v>134</v>
      </c>
      <c r="I205" s="12">
        <v>5938902.5400431724</v>
      </c>
    </row>
    <row r="206" spans="1:9" ht="15.6" x14ac:dyDescent="0.3">
      <c r="A206">
        <v>135</v>
      </c>
      <c r="B206" s="12">
        <v>3331016.0917384522</v>
      </c>
      <c r="H206">
        <v>135</v>
      </c>
      <c r="I206" s="12">
        <v>6542952.1691510277</v>
      </c>
    </row>
    <row r="207" spans="1:9" ht="15.6" x14ac:dyDescent="0.3">
      <c r="A207">
        <v>136</v>
      </c>
      <c r="B207" s="12">
        <v>3329145.1591761988</v>
      </c>
      <c r="H207">
        <v>136</v>
      </c>
      <c r="I207" s="12">
        <v>6476288.3490981087</v>
      </c>
    </row>
    <row r="208" spans="1:9" ht="15.6" x14ac:dyDescent="0.3">
      <c r="A208">
        <v>137</v>
      </c>
      <c r="B208" s="12">
        <v>3198523.202656311</v>
      </c>
      <c r="H208">
        <v>137</v>
      </c>
      <c r="I208" s="12">
        <v>6165454.9253729321</v>
      </c>
    </row>
    <row r="209" spans="1:9" ht="15.6" x14ac:dyDescent="0.3">
      <c r="A209">
        <v>138</v>
      </c>
      <c r="B209" s="12">
        <v>3273535.4444830185</v>
      </c>
      <c r="H209">
        <v>138</v>
      </c>
      <c r="I209" s="12">
        <v>6532365.4400137626</v>
      </c>
    </row>
    <row r="210" spans="1:9" ht="15.6" x14ac:dyDescent="0.3">
      <c r="A210">
        <v>139</v>
      </c>
      <c r="B210" s="12">
        <v>3569378.8285117908</v>
      </c>
      <c r="H210">
        <v>139</v>
      </c>
      <c r="I210" s="12">
        <v>6442116.6612879094</v>
      </c>
    </row>
    <row r="211" spans="1:9" ht="15.6" x14ac:dyDescent="0.3">
      <c r="A211">
        <v>140</v>
      </c>
      <c r="B211" s="12">
        <v>3389704.3573092185</v>
      </c>
      <c r="H211">
        <v>140</v>
      </c>
      <c r="I211" s="12">
        <v>6459182.1591029344</v>
      </c>
    </row>
    <row r="212" spans="1:9" ht="15.6" x14ac:dyDescent="0.3">
      <c r="A212">
        <v>141</v>
      </c>
      <c r="B212" s="12">
        <v>3468554.8468849189</v>
      </c>
      <c r="H212">
        <v>141</v>
      </c>
      <c r="I212" s="12">
        <v>5678541.8000637712</v>
      </c>
    </row>
    <row r="213" spans="1:9" ht="15.6" x14ac:dyDescent="0.3">
      <c r="A213">
        <v>142</v>
      </c>
      <c r="B213" s="12">
        <v>3348691.0139056533</v>
      </c>
      <c r="H213">
        <v>142</v>
      </c>
      <c r="I213" s="12">
        <v>6240913.2298978614</v>
      </c>
    </row>
    <row r="214" spans="1:9" ht="15.6" x14ac:dyDescent="0.3">
      <c r="A214">
        <v>143</v>
      </c>
      <c r="B214" s="12">
        <v>3426407.4670495791</v>
      </c>
      <c r="H214">
        <v>143</v>
      </c>
      <c r="I214" s="12">
        <v>6555783.4078716375</v>
      </c>
    </row>
    <row r="215" spans="1:9" ht="15.6" x14ac:dyDescent="0.3">
      <c r="A215">
        <v>144</v>
      </c>
      <c r="B215" s="12">
        <v>3176593.2343437988</v>
      </c>
      <c r="H215">
        <v>144</v>
      </c>
      <c r="I215" s="12">
        <v>6420536.2506916597</v>
      </c>
    </row>
    <row r="216" spans="1:9" ht="15.6" x14ac:dyDescent="0.3">
      <c r="A216">
        <v>145</v>
      </c>
      <c r="B216" s="12">
        <v>3400133.694320004</v>
      </c>
      <c r="H216">
        <v>145</v>
      </c>
      <c r="I216" s="12">
        <v>6041535.3971711099</v>
      </c>
    </row>
    <row r="217" spans="1:9" ht="15.6" x14ac:dyDescent="0.3">
      <c r="A217">
        <v>146</v>
      </c>
      <c r="B217" s="12">
        <v>3486835.783327396</v>
      </c>
      <c r="H217">
        <v>146</v>
      </c>
      <c r="I217" s="12">
        <v>6286227.9460843652</v>
      </c>
    </row>
    <row r="218" spans="1:9" ht="15.6" x14ac:dyDescent="0.3">
      <c r="A218">
        <v>147</v>
      </c>
      <c r="B218" s="12">
        <v>3664640.8523018393</v>
      </c>
      <c r="H218">
        <v>147</v>
      </c>
      <c r="I218" s="12">
        <v>6057296.0601435509</v>
      </c>
    </row>
    <row r="219" spans="1:9" ht="15.6" x14ac:dyDescent="0.3">
      <c r="A219">
        <v>148</v>
      </c>
      <c r="B219" s="12">
        <v>3904588.6742614666</v>
      </c>
      <c r="H219">
        <v>148</v>
      </c>
      <c r="I219" s="12">
        <v>6485982.5990116969</v>
      </c>
    </row>
    <row r="220" spans="1:9" ht="15.6" x14ac:dyDescent="0.3">
      <c r="A220">
        <v>149</v>
      </c>
      <c r="B220" s="12">
        <v>3409427.4979822421</v>
      </c>
      <c r="H220">
        <v>149</v>
      </c>
      <c r="I220" s="12">
        <v>5894241.6741256015</v>
      </c>
    </row>
    <row r="221" spans="1:9" ht="15.6" x14ac:dyDescent="0.3">
      <c r="A221">
        <v>150</v>
      </c>
      <c r="B221" s="12">
        <v>3420431.6999179143</v>
      </c>
      <c r="H221">
        <v>150</v>
      </c>
      <c r="I221" s="12">
        <v>6152158.2020239159</v>
      </c>
    </row>
    <row r="222" spans="1:9" ht="15.6" x14ac:dyDescent="0.3">
      <c r="A222">
        <v>151</v>
      </c>
      <c r="B222" s="12">
        <v>3532622.3407579469</v>
      </c>
      <c r="H222">
        <v>151</v>
      </c>
      <c r="I222" s="12">
        <v>6156974.267158323</v>
      </c>
    </row>
    <row r="223" spans="1:9" ht="15.6" x14ac:dyDescent="0.3">
      <c r="A223">
        <v>152</v>
      </c>
      <c r="B223" s="12">
        <v>3321117.285443285</v>
      </c>
      <c r="H223">
        <v>152</v>
      </c>
      <c r="I223" s="12">
        <v>5870138.7295031613</v>
      </c>
    </row>
    <row r="224" spans="1:9" ht="15.6" x14ac:dyDescent="0.3">
      <c r="A224">
        <v>153</v>
      </c>
      <c r="B224" s="12">
        <v>3422638.9087308496</v>
      </c>
      <c r="H224">
        <v>153</v>
      </c>
      <c r="I224" s="12">
        <v>6054378.6654604068</v>
      </c>
    </row>
    <row r="225" spans="1:9" ht="15.6" x14ac:dyDescent="0.3">
      <c r="A225">
        <v>154</v>
      </c>
      <c r="B225" s="12">
        <v>3432951.2822048403</v>
      </c>
      <c r="H225">
        <v>154</v>
      </c>
      <c r="I225" s="12">
        <v>6371565.4613940446</v>
      </c>
    </row>
    <row r="226" spans="1:9" ht="15.6" x14ac:dyDescent="0.3">
      <c r="A226">
        <v>155</v>
      </c>
      <c r="B226" s="12">
        <v>3291595.2014360083</v>
      </c>
      <c r="H226">
        <v>155</v>
      </c>
      <c r="I226" s="12">
        <v>5921197.0230123485</v>
      </c>
    </row>
    <row r="227" spans="1:9" ht="15.6" x14ac:dyDescent="0.3">
      <c r="A227">
        <v>156</v>
      </c>
      <c r="B227" s="12">
        <v>3190752.2407852001</v>
      </c>
      <c r="H227">
        <v>156</v>
      </c>
      <c r="I227" s="12">
        <v>6177353.9330480332</v>
      </c>
    </row>
    <row r="228" spans="1:9" ht="15.6" x14ac:dyDescent="0.3">
      <c r="A228">
        <v>157</v>
      </c>
      <c r="B228" s="12">
        <v>3696408.4806302013</v>
      </c>
      <c r="H228">
        <v>157</v>
      </c>
      <c r="I228" s="12">
        <v>5943277.9983326178</v>
      </c>
    </row>
    <row r="229" spans="1:9" ht="15.6" x14ac:dyDescent="0.3">
      <c r="A229">
        <v>158</v>
      </c>
      <c r="B229" s="12">
        <v>3154443.6946706986</v>
      </c>
      <c r="H229">
        <v>158</v>
      </c>
      <c r="I229" s="12">
        <v>6378759.7787826089</v>
      </c>
    </row>
    <row r="230" spans="1:9" ht="15.6" x14ac:dyDescent="0.3">
      <c r="A230">
        <v>159</v>
      </c>
      <c r="B230" s="12">
        <v>3330394.0453983867</v>
      </c>
      <c r="H230">
        <v>159</v>
      </c>
      <c r="I230" s="12">
        <v>6124444.7975590089</v>
      </c>
    </row>
    <row r="231" spans="1:9" ht="15.6" x14ac:dyDescent="0.3">
      <c r="A231">
        <v>160</v>
      </c>
      <c r="B231" s="12">
        <v>3626756.7010468827</v>
      </c>
      <c r="H231">
        <v>160</v>
      </c>
      <c r="I231" s="12">
        <v>5996436.198737191</v>
      </c>
    </row>
    <row r="232" spans="1:9" ht="15.6" x14ac:dyDescent="0.3">
      <c r="A232">
        <v>161</v>
      </c>
      <c r="B232" s="12">
        <v>3603889.3893721127</v>
      </c>
      <c r="H232">
        <v>161</v>
      </c>
      <c r="I232" s="12">
        <v>6078448.4949450642</v>
      </c>
    </row>
    <row r="233" spans="1:9" ht="15.6" x14ac:dyDescent="0.3">
      <c r="A233">
        <v>162</v>
      </c>
      <c r="B233" s="12">
        <v>3380545.007791013</v>
      </c>
      <c r="H233">
        <v>162</v>
      </c>
      <c r="I233" s="12">
        <v>6205315.8331846762</v>
      </c>
    </row>
    <row r="234" spans="1:9" ht="15.6" x14ac:dyDescent="0.3">
      <c r="A234">
        <v>163</v>
      </c>
      <c r="B234" s="12">
        <v>3388757.1280940073</v>
      </c>
      <c r="H234">
        <v>163</v>
      </c>
      <c r="I234" s="12">
        <v>6208590.1209508851</v>
      </c>
    </row>
    <row r="235" spans="1:9" ht="15.6" x14ac:dyDescent="0.3">
      <c r="A235">
        <v>164</v>
      </c>
      <c r="B235" s="12">
        <v>3498594.0464783143</v>
      </c>
      <c r="H235">
        <v>164</v>
      </c>
      <c r="I235" s="12">
        <v>6012168.3940941468</v>
      </c>
    </row>
    <row r="236" spans="1:9" ht="15.6" x14ac:dyDescent="0.3">
      <c r="A236">
        <v>165</v>
      </c>
      <c r="B236" s="12">
        <v>3553361.0729196281</v>
      </c>
      <c r="H236">
        <v>165</v>
      </c>
      <c r="I236" s="12">
        <v>6520733.6782983458</v>
      </c>
    </row>
    <row r="237" spans="1:9" ht="15.6" x14ac:dyDescent="0.3">
      <c r="A237">
        <v>166</v>
      </c>
      <c r="B237" s="12">
        <v>3381997.6527228262</v>
      </c>
      <c r="H237">
        <v>166</v>
      </c>
      <c r="I237" s="12">
        <v>6077606.0628483472</v>
      </c>
    </row>
    <row r="238" spans="1:9" ht="15.6" x14ac:dyDescent="0.3">
      <c r="A238">
        <v>167</v>
      </c>
      <c r="B238" s="12">
        <v>3312075.6972394804</v>
      </c>
      <c r="H238">
        <v>167</v>
      </c>
      <c r="I238" s="12">
        <v>6612509.9888597317</v>
      </c>
    </row>
    <row r="239" spans="1:9" ht="15.6" x14ac:dyDescent="0.3">
      <c r="A239">
        <v>168</v>
      </c>
      <c r="B239" s="12">
        <v>3323044.2606921871</v>
      </c>
      <c r="H239">
        <v>168</v>
      </c>
      <c r="I239" s="12">
        <v>6364742.2529004402</v>
      </c>
    </row>
    <row r="240" spans="1:9" ht="15.6" x14ac:dyDescent="0.3">
      <c r="A240">
        <v>169</v>
      </c>
      <c r="B240" s="12">
        <v>3512688.2313489169</v>
      </c>
      <c r="H240">
        <v>169</v>
      </c>
      <c r="I240" s="12">
        <v>6461534.4271594342</v>
      </c>
    </row>
    <row r="241" spans="1:9" ht="15.6" x14ac:dyDescent="0.3">
      <c r="A241">
        <v>170</v>
      </c>
      <c r="B241" s="12">
        <v>3473743.0857476229</v>
      </c>
      <c r="H241">
        <v>170</v>
      </c>
      <c r="I241" s="12">
        <v>6029312.7113306867</v>
      </c>
    </row>
    <row r="242" spans="1:9" ht="15.6" x14ac:dyDescent="0.3">
      <c r="A242">
        <v>171</v>
      </c>
      <c r="B242" s="12">
        <v>3502525.0911729555</v>
      </c>
      <c r="H242">
        <v>171</v>
      </c>
      <c r="I242" s="12">
        <v>6075873.8202980338</v>
      </c>
    </row>
    <row r="243" spans="1:9" ht="15.6" x14ac:dyDescent="0.3">
      <c r="A243">
        <v>172</v>
      </c>
      <c r="B243" s="12">
        <v>3232925.193434638</v>
      </c>
      <c r="H243">
        <v>172</v>
      </c>
      <c r="I243" s="12">
        <v>5995112.8692213902</v>
      </c>
    </row>
    <row r="244" spans="1:9" ht="15.6" x14ac:dyDescent="0.3">
      <c r="A244">
        <v>173</v>
      </c>
      <c r="B244" s="12">
        <v>3556372.0901519875</v>
      </c>
      <c r="H244">
        <v>173</v>
      </c>
      <c r="I244" s="12">
        <v>6181638.4715146562</v>
      </c>
    </row>
    <row r="245" spans="1:9" ht="15.6" x14ac:dyDescent="0.3">
      <c r="A245">
        <v>174</v>
      </c>
      <c r="B245" s="12">
        <v>3461963.2975492594</v>
      </c>
      <c r="H245">
        <v>174</v>
      </c>
      <c r="I245" s="12">
        <v>6180435.0447242791</v>
      </c>
    </row>
    <row r="246" spans="1:9" ht="15.6" x14ac:dyDescent="0.3">
      <c r="A246">
        <v>175</v>
      </c>
      <c r="B246" s="12">
        <v>3417650.8540182058</v>
      </c>
      <c r="H246">
        <v>175</v>
      </c>
      <c r="I246" s="12">
        <v>6420604.1537155025</v>
      </c>
    </row>
    <row r="247" spans="1:9" ht="15.6" x14ac:dyDescent="0.3">
      <c r="A247">
        <v>176</v>
      </c>
      <c r="B247" s="12">
        <v>3268876.2421146119</v>
      </c>
      <c r="H247">
        <v>176</v>
      </c>
      <c r="I247" s="12">
        <v>5990060.5529292459</v>
      </c>
    </row>
    <row r="248" spans="1:9" ht="15.6" x14ac:dyDescent="0.3">
      <c r="A248">
        <v>177</v>
      </c>
      <c r="B248" s="12">
        <v>3431681.043070605</v>
      </c>
      <c r="H248">
        <v>177</v>
      </c>
      <c r="I248" s="12">
        <v>6044811.872400118</v>
      </c>
    </row>
    <row r="249" spans="1:9" ht="15.6" x14ac:dyDescent="0.3">
      <c r="A249">
        <v>178</v>
      </c>
      <c r="B249" s="12">
        <v>3538307.8032201966</v>
      </c>
      <c r="H249">
        <v>178</v>
      </c>
      <c r="I249" s="12">
        <v>6378682.9206938948</v>
      </c>
    </row>
    <row r="250" spans="1:9" ht="15.6" x14ac:dyDescent="0.3">
      <c r="A250">
        <v>179</v>
      </c>
      <c r="B250" s="12">
        <v>3387073.5859509413</v>
      </c>
      <c r="H250">
        <v>179</v>
      </c>
      <c r="I250" s="12">
        <v>5686841.685554618</v>
      </c>
    </row>
    <row r="251" spans="1:9" ht="15.6" x14ac:dyDescent="0.3">
      <c r="A251">
        <v>180</v>
      </c>
      <c r="B251" s="12">
        <v>3358599.6577127902</v>
      </c>
      <c r="H251">
        <v>180</v>
      </c>
      <c r="I251" s="12">
        <v>6327958.7054404169</v>
      </c>
    </row>
    <row r="252" spans="1:9" ht="15.6" x14ac:dyDescent="0.3">
      <c r="A252">
        <v>181</v>
      </c>
      <c r="B252" s="12">
        <v>3534591.4697188991</v>
      </c>
      <c r="H252">
        <v>181</v>
      </c>
      <c r="I252" s="12">
        <v>6136081.8912901552</v>
      </c>
    </row>
    <row r="253" spans="1:9" ht="15.6" x14ac:dyDescent="0.3">
      <c r="A253">
        <v>182</v>
      </c>
      <c r="B253" s="12">
        <v>3247055.0351404995</v>
      </c>
      <c r="H253">
        <v>182</v>
      </c>
      <c r="I253" s="12">
        <v>6347694.9665343193</v>
      </c>
    </row>
    <row r="254" spans="1:9" ht="15.6" x14ac:dyDescent="0.3">
      <c r="A254">
        <v>183</v>
      </c>
      <c r="B254" s="12">
        <v>3355046.7858736264</v>
      </c>
      <c r="H254">
        <v>183</v>
      </c>
      <c r="I254" s="12">
        <v>5988300.5449508131</v>
      </c>
    </row>
    <row r="255" spans="1:9" ht="15.6" x14ac:dyDescent="0.3">
      <c r="A255">
        <v>184</v>
      </c>
      <c r="B255" s="12">
        <v>3498894.3401458086</v>
      </c>
      <c r="H255">
        <v>184</v>
      </c>
      <c r="I255" s="12">
        <v>6626507.7700376892</v>
      </c>
    </row>
    <row r="256" spans="1:9" ht="15.6" x14ac:dyDescent="0.3">
      <c r="A256">
        <v>185</v>
      </c>
      <c r="B256" s="12">
        <v>3253070.2237792425</v>
      </c>
      <c r="H256">
        <v>185</v>
      </c>
      <c r="I256" s="12">
        <v>6380057.0638991399</v>
      </c>
    </row>
    <row r="257" spans="1:9" ht="15.6" x14ac:dyDescent="0.3">
      <c r="A257">
        <v>186</v>
      </c>
      <c r="B257" s="12">
        <v>3364808.8620983982</v>
      </c>
      <c r="H257">
        <v>186</v>
      </c>
      <c r="I257" s="12">
        <v>6303767.7285475321</v>
      </c>
    </row>
    <row r="258" spans="1:9" ht="15.6" x14ac:dyDescent="0.3">
      <c r="A258">
        <v>187</v>
      </c>
      <c r="B258" s="12">
        <v>3282289.7829737496</v>
      </c>
      <c r="H258">
        <v>187</v>
      </c>
      <c r="I258" s="12">
        <v>5946146.3096652068</v>
      </c>
    </row>
    <row r="259" spans="1:9" ht="15.6" x14ac:dyDescent="0.3">
      <c r="A259">
        <v>188</v>
      </c>
      <c r="B259" s="12">
        <v>3379255.7245077617</v>
      </c>
      <c r="H259">
        <v>188</v>
      </c>
      <c r="I259" s="12">
        <v>6349380.2965384573</v>
      </c>
    </row>
    <row r="260" spans="1:9" ht="15.6" x14ac:dyDescent="0.3">
      <c r="A260">
        <v>189</v>
      </c>
      <c r="B260" s="12">
        <v>3222239.7204496176</v>
      </c>
      <c r="H260">
        <v>189</v>
      </c>
      <c r="I260" s="12">
        <v>6442559.2787246071</v>
      </c>
    </row>
    <row r="261" spans="1:9" ht="15.6" x14ac:dyDescent="0.3">
      <c r="A261">
        <v>190</v>
      </c>
      <c r="B261" s="12">
        <v>3425215.683706033</v>
      </c>
      <c r="H261">
        <v>190</v>
      </c>
      <c r="I261" s="12">
        <v>6485201.5092891408</v>
      </c>
    </row>
    <row r="262" spans="1:9" ht="15.6" x14ac:dyDescent="0.3">
      <c r="A262">
        <v>191</v>
      </c>
      <c r="B262" s="12">
        <v>3540426.47464066</v>
      </c>
      <c r="H262">
        <v>191</v>
      </c>
      <c r="I262" s="12">
        <v>6043567.0172334705</v>
      </c>
    </row>
    <row r="263" spans="1:9" ht="15.6" x14ac:dyDescent="0.3">
      <c r="A263">
        <v>192</v>
      </c>
      <c r="B263" s="12">
        <v>3443706.947712644</v>
      </c>
      <c r="H263">
        <v>192</v>
      </c>
      <c r="I263" s="12">
        <v>6221949.9890445052</v>
      </c>
    </row>
    <row r="264" spans="1:9" ht="15.6" x14ac:dyDescent="0.3">
      <c r="A264">
        <v>193</v>
      </c>
      <c r="B264" s="12">
        <v>3531168.6330015599</v>
      </c>
      <c r="H264">
        <v>193</v>
      </c>
      <c r="I264" s="12">
        <v>5831367.7728418317</v>
      </c>
    </row>
    <row r="265" spans="1:9" ht="15.6" x14ac:dyDescent="0.3">
      <c r="A265">
        <v>194</v>
      </c>
      <c r="B265" s="12">
        <v>3454262.0551075824</v>
      </c>
      <c r="H265">
        <v>194</v>
      </c>
      <c r="I265" s="12">
        <v>6006433.6063832063</v>
      </c>
    </row>
    <row r="266" spans="1:9" ht="15.6" x14ac:dyDescent="0.3">
      <c r="A266">
        <v>195</v>
      </c>
      <c r="B266" s="12">
        <v>3404750.4162580119</v>
      </c>
      <c r="H266">
        <v>195</v>
      </c>
      <c r="I266" s="12">
        <v>6029639.4049805682</v>
      </c>
    </row>
    <row r="267" spans="1:9" ht="15.6" x14ac:dyDescent="0.3">
      <c r="A267">
        <v>196</v>
      </c>
      <c r="B267" s="12">
        <v>3471980.6018447913</v>
      </c>
      <c r="H267">
        <v>196</v>
      </c>
      <c r="I267" s="12">
        <v>6366028.6663218737</v>
      </c>
    </row>
    <row r="268" spans="1:9" ht="15.6" x14ac:dyDescent="0.3">
      <c r="A268">
        <v>197</v>
      </c>
      <c r="B268" s="12">
        <v>3505932.077899416</v>
      </c>
      <c r="H268">
        <v>197</v>
      </c>
      <c r="I268" s="12">
        <v>6027906.2467002152</v>
      </c>
    </row>
    <row r="269" spans="1:9" ht="15.6" x14ac:dyDescent="0.3">
      <c r="A269">
        <v>198</v>
      </c>
      <c r="B269" s="12">
        <v>3502283.0802254295</v>
      </c>
      <c r="H269">
        <v>198</v>
      </c>
      <c r="I269" s="12">
        <v>6145629.5413364377</v>
      </c>
    </row>
    <row r="270" spans="1:9" ht="15.6" x14ac:dyDescent="0.3">
      <c r="A270">
        <v>199</v>
      </c>
      <c r="B270" s="12">
        <v>3197710.4200159139</v>
      </c>
      <c r="H270">
        <v>199</v>
      </c>
      <c r="I270" s="12">
        <v>6137614.1212516092</v>
      </c>
    </row>
    <row r="271" spans="1:9" ht="15.6" x14ac:dyDescent="0.3">
      <c r="A271">
        <v>200</v>
      </c>
      <c r="B271" s="12">
        <v>3252455.6985296598</v>
      </c>
      <c r="H271">
        <v>200</v>
      </c>
      <c r="I271" s="12">
        <v>6031306.5973621327</v>
      </c>
    </row>
    <row r="272" spans="1:9" ht="15.6" x14ac:dyDescent="0.3">
      <c r="A272">
        <v>201</v>
      </c>
      <c r="B272" s="12">
        <v>3511851.3436000356</v>
      </c>
      <c r="H272">
        <v>201</v>
      </c>
      <c r="I272" s="12">
        <v>6245273.6624807343</v>
      </c>
    </row>
    <row r="273" spans="1:9" ht="15.6" x14ac:dyDescent="0.3">
      <c r="A273">
        <v>202</v>
      </c>
      <c r="B273" s="12">
        <v>3373788.6568246684</v>
      </c>
      <c r="H273">
        <v>202</v>
      </c>
      <c r="I273" s="12">
        <v>6420810.5120223211</v>
      </c>
    </row>
    <row r="274" spans="1:9" ht="15.6" x14ac:dyDescent="0.3">
      <c r="A274">
        <v>203</v>
      </c>
      <c r="B274" s="12">
        <v>3114044.7602266483</v>
      </c>
      <c r="H274">
        <v>203</v>
      </c>
      <c r="I274" s="12">
        <v>5896098.1849734792</v>
      </c>
    </row>
    <row r="275" spans="1:9" ht="15.6" x14ac:dyDescent="0.3">
      <c r="A275">
        <v>204</v>
      </c>
      <c r="B275" s="12">
        <v>3419769.8927957304</v>
      </c>
      <c r="H275">
        <v>204</v>
      </c>
      <c r="I275" s="12">
        <v>6275641.1985322433</v>
      </c>
    </row>
    <row r="276" spans="1:9" ht="15.6" x14ac:dyDescent="0.3">
      <c r="A276">
        <v>205</v>
      </c>
      <c r="B276" s="12">
        <v>3435225.4234920628</v>
      </c>
      <c r="H276">
        <v>205</v>
      </c>
      <c r="I276" s="12">
        <v>6232430.5683910558</v>
      </c>
    </row>
    <row r="277" spans="1:9" ht="15.6" x14ac:dyDescent="0.3">
      <c r="A277">
        <v>206</v>
      </c>
      <c r="B277" s="12">
        <v>2984538.6825963506</v>
      </c>
      <c r="H277">
        <v>206</v>
      </c>
      <c r="I277" s="12">
        <v>5726468.210401698</v>
      </c>
    </row>
    <row r="278" spans="1:9" ht="15.6" x14ac:dyDescent="0.3">
      <c r="A278">
        <v>207</v>
      </c>
      <c r="B278" s="12">
        <v>3494561.8561609215</v>
      </c>
      <c r="H278">
        <v>207</v>
      </c>
      <c r="I278" s="12">
        <v>6079341.9884135704</v>
      </c>
    </row>
    <row r="279" spans="1:9" ht="15.6" x14ac:dyDescent="0.3">
      <c r="A279">
        <v>208</v>
      </c>
      <c r="B279" s="12">
        <v>3555132.1358696222</v>
      </c>
      <c r="H279">
        <v>208</v>
      </c>
      <c r="I279" s="12">
        <v>6032337.1003005505</v>
      </c>
    </row>
    <row r="280" spans="1:9" ht="15.6" x14ac:dyDescent="0.3">
      <c r="A280">
        <v>209</v>
      </c>
      <c r="B280" s="12">
        <v>3508359.7164812568</v>
      </c>
      <c r="H280">
        <v>209</v>
      </c>
      <c r="I280" s="12">
        <v>6559698.8489356712</v>
      </c>
    </row>
    <row r="281" spans="1:9" ht="15.6" x14ac:dyDescent="0.3">
      <c r="A281">
        <v>210</v>
      </c>
      <c r="B281" s="12">
        <v>3513170.2083569951</v>
      </c>
      <c r="H281">
        <v>210</v>
      </c>
      <c r="I281" s="12">
        <v>5737766.8559018383</v>
      </c>
    </row>
    <row r="282" spans="1:9" ht="15.6" x14ac:dyDescent="0.3">
      <c r="A282">
        <v>211</v>
      </c>
      <c r="B282" s="12">
        <v>3264894.0729623791</v>
      </c>
      <c r="H282">
        <v>211</v>
      </c>
      <c r="I282" s="12">
        <v>6018253.6406044103</v>
      </c>
    </row>
    <row r="283" spans="1:9" ht="15.6" x14ac:dyDescent="0.3">
      <c r="A283">
        <v>212</v>
      </c>
      <c r="B283" s="12">
        <v>3539857.6355333203</v>
      </c>
      <c r="H283">
        <v>212</v>
      </c>
      <c r="I283" s="12">
        <v>6179288.1684835274</v>
      </c>
    </row>
    <row r="284" spans="1:9" ht="15.6" x14ac:dyDescent="0.3">
      <c r="A284">
        <v>213</v>
      </c>
      <c r="B284" s="12">
        <v>3364597.4079014473</v>
      </c>
      <c r="H284">
        <v>213</v>
      </c>
      <c r="I284" s="12">
        <v>5674938.4983190317</v>
      </c>
    </row>
    <row r="285" spans="1:9" ht="15.6" x14ac:dyDescent="0.3">
      <c r="A285">
        <v>214</v>
      </c>
      <c r="B285" s="12">
        <v>3338136.4688986489</v>
      </c>
      <c r="H285">
        <v>214</v>
      </c>
      <c r="I285" s="12">
        <v>5974597.1767089041</v>
      </c>
    </row>
    <row r="286" spans="1:9" ht="15.6" x14ac:dyDescent="0.3">
      <c r="A286">
        <v>215</v>
      </c>
      <c r="B286" s="12">
        <v>3204327.4904463794</v>
      </c>
      <c r="H286">
        <v>215</v>
      </c>
      <c r="I286" s="12">
        <v>5740994.8706577588</v>
      </c>
    </row>
    <row r="287" spans="1:9" ht="15.6" x14ac:dyDescent="0.3">
      <c r="A287">
        <v>216</v>
      </c>
      <c r="B287" s="12">
        <v>3522316.2424148056</v>
      </c>
      <c r="H287">
        <v>216</v>
      </c>
      <c r="I287" s="12">
        <v>6179372.8392017651</v>
      </c>
    </row>
    <row r="288" spans="1:9" ht="15.6" x14ac:dyDescent="0.3">
      <c r="A288">
        <v>217</v>
      </c>
      <c r="B288" s="12">
        <v>3413486.8534132317</v>
      </c>
      <c r="H288">
        <v>217</v>
      </c>
      <c r="I288" s="12">
        <v>6377777.9971964099</v>
      </c>
    </row>
    <row r="289" spans="1:9" ht="15.6" x14ac:dyDescent="0.3">
      <c r="A289">
        <v>218</v>
      </c>
      <c r="B289" s="12">
        <v>3493373.1092286059</v>
      </c>
      <c r="H289">
        <v>218</v>
      </c>
      <c r="I289" s="12">
        <v>6182084.2295516832</v>
      </c>
    </row>
    <row r="290" spans="1:9" ht="15.6" x14ac:dyDescent="0.3">
      <c r="A290">
        <v>219</v>
      </c>
      <c r="B290" s="12">
        <v>3703407.7844442972</v>
      </c>
      <c r="H290">
        <v>219</v>
      </c>
      <c r="I290" s="12">
        <v>5801359.5978523139</v>
      </c>
    </row>
    <row r="291" spans="1:9" ht="15.6" x14ac:dyDescent="0.3">
      <c r="A291">
        <v>220</v>
      </c>
      <c r="B291" s="12">
        <v>3263821.0977626103</v>
      </c>
      <c r="H291">
        <v>220</v>
      </c>
      <c r="I291" s="12">
        <v>6037723.5326144472</v>
      </c>
    </row>
    <row r="292" spans="1:9" ht="15.6" x14ac:dyDescent="0.3">
      <c r="A292">
        <v>221</v>
      </c>
      <c r="B292" s="12">
        <v>3480706.7318201312</v>
      </c>
      <c r="H292">
        <v>221</v>
      </c>
      <c r="I292" s="12">
        <v>6104828.5263560722</v>
      </c>
    </row>
    <row r="293" spans="1:9" ht="15.6" x14ac:dyDescent="0.3">
      <c r="A293">
        <v>222</v>
      </c>
      <c r="B293" s="12">
        <v>3278165.3796854522</v>
      </c>
      <c r="H293">
        <v>222</v>
      </c>
      <c r="I293" s="12">
        <v>6425112.0024681073</v>
      </c>
    </row>
    <row r="294" spans="1:9" ht="15.6" x14ac:dyDescent="0.3">
      <c r="A294">
        <v>223</v>
      </c>
      <c r="B294" s="12">
        <v>3397008.9830839937</v>
      </c>
      <c r="H294">
        <v>223</v>
      </c>
      <c r="I294" s="12">
        <v>6310687.4876899347</v>
      </c>
    </row>
    <row r="295" spans="1:9" ht="15.6" x14ac:dyDescent="0.3">
      <c r="A295">
        <v>224</v>
      </c>
      <c r="B295" s="12">
        <v>3676888.6858268911</v>
      </c>
      <c r="H295">
        <v>224</v>
      </c>
      <c r="I295" s="12">
        <v>5762136.2157965777</v>
      </c>
    </row>
    <row r="296" spans="1:9" ht="15.6" x14ac:dyDescent="0.3">
      <c r="A296">
        <v>225</v>
      </c>
      <c r="B296" s="12">
        <v>3485566.9528161706</v>
      </c>
      <c r="H296">
        <v>225</v>
      </c>
      <c r="I296" s="12">
        <v>5727759.224239355</v>
      </c>
    </row>
    <row r="297" spans="1:9" ht="15.6" x14ac:dyDescent="0.3">
      <c r="A297">
        <v>226</v>
      </c>
      <c r="B297" s="12">
        <v>3271425.3204232659</v>
      </c>
      <c r="H297">
        <v>226</v>
      </c>
      <c r="I297" s="12">
        <v>6255636.1088475492</v>
      </c>
    </row>
    <row r="298" spans="1:9" ht="15.6" x14ac:dyDescent="0.3">
      <c r="A298">
        <v>227</v>
      </c>
      <c r="B298" s="12">
        <v>3364309.0360182193</v>
      </c>
      <c r="H298">
        <v>227</v>
      </c>
      <c r="I298" s="12">
        <v>6335387.8619729746</v>
      </c>
    </row>
    <row r="299" spans="1:9" ht="15.6" x14ac:dyDescent="0.3">
      <c r="A299">
        <v>228</v>
      </c>
      <c r="B299" s="12">
        <v>3413296.0950578959</v>
      </c>
      <c r="H299">
        <v>228</v>
      </c>
      <c r="I299" s="12">
        <v>6337101.4418707294</v>
      </c>
    </row>
    <row r="300" spans="1:9" ht="15.6" x14ac:dyDescent="0.3">
      <c r="A300">
        <v>229</v>
      </c>
      <c r="B300" s="12">
        <v>3367764.4444321007</v>
      </c>
      <c r="H300">
        <v>229</v>
      </c>
      <c r="I300" s="12">
        <v>5928939.5170951393</v>
      </c>
    </row>
    <row r="301" spans="1:9" ht="15.6" x14ac:dyDescent="0.3">
      <c r="A301">
        <v>230</v>
      </c>
      <c r="B301" s="12">
        <v>3427737.8192626392</v>
      </c>
      <c r="H301">
        <v>230</v>
      </c>
      <c r="I301" s="12">
        <v>6189985.5284334421</v>
      </c>
    </row>
    <row r="302" spans="1:9" ht="15.6" x14ac:dyDescent="0.3">
      <c r="A302">
        <v>231</v>
      </c>
      <c r="B302" s="12">
        <v>3399903.4659245997</v>
      </c>
      <c r="H302">
        <v>231</v>
      </c>
      <c r="I302" s="12">
        <v>6158048.1121728178</v>
      </c>
    </row>
    <row r="303" spans="1:9" ht="15.6" x14ac:dyDescent="0.3">
      <c r="A303">
        <v>232</v>
      </c>
      <c r="B303" s="12">
        <v>3228896.9408261534</v>
      </c>
      <c r="H303">
        <v>232</v>
      </c>
      <c r="I303" s="12">
        <v>5763390.3800562331</v>
      </c>
    </row>
    <row r="304" spans="1:9" ht="15.6" x14ac:dyDescent="0.3">
      <c r="A304">
        <v>233</v>
      </c>
      <c r="B304" s="12">
        <v>3410200.2724671699</v>
      </c>
      <c r="H304">
        <v>233</v>
      </c>
      <c r="I304" s="12">
        <v>5806900.9383595418</v>
      </c>
    </row>
    <row r="305" spans="1:9" ht="15.6" x14ac:dyDescent="0.3">
      <c r="A305">
        <v>234</v>
      </c>
      <c r="B305" s="12">
        <v>3352426.7745498633</v>
      </c>
      <c r="H305">
        <v>234</v>
      </c>
      <c r="I305" s="12">
        <v>6229012.3088022396</v>
      </c>
    </row>
    <row r="306" spans="1:9" ht="15.6" x14ac:dyDescent="0.3">
      <c r="A306">
        <v>235</v>
      </c>
      <c r="B306" s="12">
        <v>3950010.4056182937</v>
      </c>
      <c r="H306">
        <v>235</v>
      </c>
      <c r="I306" s="12">
        <v>6487802.991841808</v>
      </c>
    </row>
    <row r="307" spans="1:9" ht="15.6" x14ac:dyDescent="0.3">
      <c r="A307">
        <v>236</v>
      </c>
      <c r="B307" s="12">
        <v>3382002.8701600158</v>
      </c>
      <c r="H307">
        <v>236</v>
      </c>
      <c r="I307" s="12">
        <v>5708180.147006535</v>
      </c>
    </row>
    <row r="308" spans="1:9" ht="15.6" x14ac:dyDescent="0.3">
      <c r="A308">
        <v>237</v>
      </c>
      <c r="B308" s="12">
        <v>3536916.363400504</v>
      </c>
      <c r="H308">
        <v>237</v>
      </c>
      <c r="I308" s="12">
        <v>6316850.195226484</v>
      </c>
    </row>
    <row r="309" spans="1:9" ht="15.6" x14ac:dyDescent="0.3">
      <c r="A309">
        <v>238</v>
      </c>
      <c r="B309" s="12">
        <v>3507548.0625096085</v>
      </c>
      <c r="H309">
        <v>238</v>
      </c>
      <c r="I309" s="12">
        <v>5797397.5851362124</v>
      </c>
    </row>
    <row r="310" spans="1:9" ht="15.6" x14ac:dyDescent="0.3">
      <c r="A310">
        <v>239</v>
      </c>
      <c r="B310" s="12">
        <v>3397736.2803779729</v>
      </c>
      <c r="H310">
        <v>239</v>
      </c>
      <c r="I310" s="12">
        <v>6087686.5512455814</v>
      </c>
    </row>
    <row r="311" spans="1:9" ht="15.6" x14ac:dyDescent="0.3">
      <c r="A311">
        <v>240</v>
      </c>
      <c r="B311" s="12">
        <v>3299137.7027842277</v>
      </c>
      <c r="H311">
        <v>240</v>
      </c>
      <c r="I311" s="12">
        <v>5849209.4164344883</v>
      </c>
    </row>
    <row r="312" spans="1:9" ht="15.6" x14ac:dyDescent="0.3">
      <c r="A312">
        <v>241</v>
      </c>
      <c r="B312" s="12">
        <v>3529140.3991642143</v>
      </c>
      <c r="H312">
        <v>241</v>
      </c>
      <c r="I312" s="12">
        <v>6330115.0999856321</v>
      </c>
    </row>
    <row r="313" spans="1:9" ht="15.6" x14ac:dyDescent="0.3">
      <c r="A313">
        <v>242</v>
      </c>
      <c r="B313" s="12">
        <v>3344642.4112602747</v>
      </c>
      <c r="H313">
        <v>242</v>
      </c>
      <c r="I313" s="12">
        <v>5760091.5566541664</v>
      </c>
    </row>
    <row r="314" spans="1:9" ht="15.6" x14ac:dyDescent="0.3">
      <c r="A314">
        <v>243</v>
      </c>
      <c r="B314" s="12">
        <v>3393976.9309937283</v>
      </c>
      <c r="H314">
        <v>243</v>
      </c>
      <c r="I314" s="12">
        <v>6438591.6816209797</v>
      </c>
    </row>
    <row r="315" spans="1:9" ht="15.6" x14ac:dyDescent="0.3">
      <c r="A315">
        <v>244</v>
      </c>
      <c r="B315" s="12">
        <v>3609235.1476292536</v>
      </c>
      <c r="H315">
        <v>244</v>
      </c>
      <c r="I315" s="12">
        <v>6200553.9351034798</v>
      </c>
    </row>
    <row r="316" spans="1:9" ht="15.6" x14ac:dyDescent="0.3">
      <c r="A316">
        <v>245</v>
      </c>
      <c r="B316" s="12">
        <v>3589109.9198883791</v>
      </c>
      <c r="H316">
        <v>245</v>
      </c>
      <c r="I316" s="12">
        <v>6390319.3519161707</v>
      </c>
    </row>
    <row r="317" spans="1:9" ht="15.6" x14ac:dyDescent="0.3">
      <c r="A317">
        <v>246</v>
      </c>
      <c r="B317" s="12">
        <v>3450280.7863057544</v>
      </c>
      <c r="H317">
        <v>246</v>
      </c>
      <c r="I317" s="12">
        <v>6265167.2060713572</v>
      </c>
    </row>
    <row r="318" spans="1:9" ht="15.6" x14ac:dyDescent="0.3">
      <c r="A318">
        <v>247</v>
      </c>
      <c r="B318" s="12">
        <v>3339213.5585066876</v>
      </c>
      <c r="H318">
        <v>247</v>
      </c>
      <c r="I318" s="12">
        <v>6044759.0213057678</v>
      </c>
    </row>
    <row r="319" spans="1:9" ht="15.6" x14ac:dyDescent="0.3">
      <c r="A319">
        <v>248</v>
      </c>
      <c r="B319" s="12">
        <v>3466290.6098610763</v>
      </c>
      <c r="H319">
        <v>248</v>
      </c>
      <c r="I319" s="12">
        <v>6856048.6331613725</v>
      </c>
    </row>
    <row r="320" spans="1:9" ht="15.6" x14ac:dyDescent="0.3">
      <c r="A320">
        <v>249</v>
      </c>
      <c r="B320" s="12">
        <v>3692136.9681206704</v>
      </c>
      <c r="H320">
        <v>249</v>
      </c>
      <c r="I320" s="12">
        <v>6043184.8275987562</v>
      </c>
    </row>
    <row r="321" spans="1:9" ht="15.6" x14ac:dyDescent="0.3">
      <c r="A321">
        <v>250</v>
      </c>
      <c r="B321" s="12">
        <v>3295716.2718463754</v>
      </c>
      <c r="H321">
        <v>250</v>
      </c>
      <c r="I321" s="12">
        <v>6318418.3419621801</v>
      </c>
    </row>
    <row r="322" spans="1:9" ht="15.6" x14ac:dyDescent="0.3">
      <c r="A322">
        <v>251</v>
      </c>
      <c r="B322" s="12">
        <v>3395584.6362242242</v>
      </c>
      <c r="H322">
        <v>251</v>
      </c>
      <c r="I322" s="12">
        <v>6331905.9280336834</v>
      </c>
    </row>
    <row r="323" spans="1:9" ht="15.6" x14ac:dyDescent="0.3">
      <c r="A323">
        <v>252</v>
      </c>
      <c r="B323" s="12">
        <v>3312414.9261691053</v>
      </c>
      <c r="H323">
        <v>252</v>
      </c>
      <c r="I323" s="12">
        <v>6037716.5590557475</v>
      </c>
    </row>
    <row r="324" spans="1:9" ht="15.6" x14ac:dyDescent="0.3">
      <c r="A324">
        <v>253</v>
      </c>
      <c r="B324" s="12">
        <v>3621910.8706917283</v>
      </c>
      <c r="H324">
        <v>253</v>
      </c>
      <c r="I324" s="12">
        <v>6116351.7637104467</v>
      </c>
    </row>
    <row r="325" spans="1:9" ht="15.6" x14ac:dyDescent="0.3">
      <c r="A325">
        <v>254</v>
      </c>
      <c r="B325" s="12">
        <v>3589831.2484728852</v>
      </c>
      <c r="H325">
        <v>254</v>
      </c>
      <c r="I325" s="12">
        <v>6660768.5170856882</v>
      </c>
    </row>
    <row r="326" spans="1:9" ht="15.6" x14ac:dyDescent="0.3">
      <c r="A326">
        <v>255</v>
      </c>
      <c r="B326" s="12">
        <v>3501368.6411169684</v>
      </c>
      <c r="H326">
        <v>255</v>
      </c>
      <c r="I326" s="12">
        <v>6201808.9997589858</v>
      </c>
    </row>
    <row r="327" spans="1:9" ht="15.6" x14ac:dyDescent="0.3">
      <c r="A327">
        <v>256</v>
      </c>
      <c r="B327" s="12">
        <v>3713962.7695455411</v>
      </c>
      <c r="H327">
        <v>256</v>
      </c>
      <c r="I327" s="12">
        <v>5938084.1266612457</v>
      </c>
    </row>
    <row r="328" spans="1:9" ht="15.6" x14ac:dyDescent="0.3">
      <c r="A328">
        <v>257</v>
      </c>
      <c r="B328" s="12">
        <v>3641543.9087365773</v>
      </c>
      <c r="H328">
        <v>257</v>
      </c>
      <c r="I328" s="12">
        <v>5775702.9254386425</v>
      </c>
    </row>
    <row r="329" spans="1:9" ht="15.6" x14ac:dyDescent="0.3">
      <c r="A329">
        <v>258</v>
      </c>
      <c r="B329" s="12">
        <v>3406059.4093823098</v>
      </c>
      <c r="H329">
        <v>258</v>
      </c>
      <c r="I329" s="12">
        <v>5993126.9795165239</v>
      </c>
    </row>
    <row r="330" spans="1:9" ht="15.6" x14ac:dyDescent="0.3">
      <c r="A330">
        <v>259</v>
      </c>
      <c r="B330" s="12">
        <v>3270595.8634875403</v>
      </c>
      <c r="H330">
        <v>259</v>
      </c>
      <c r="I330" s="12">
        <v>6131798.6835258147</v>
      </c>
    </row>
    <row r="331" spans="1:9" ht="15.6" x14ac:dyDescent="0.3">
      <c r="A331">
        <v>260</v>
      </c>
      <c r="B331" s="12">
        <v>3595886.0723325321</v>
      </c>
      <c r="H331">
        <v>260</v>
      </c>
      <c r="I331" s="12">
        <v>6252000.7884332119</v>
      </c>
    </row>
    <row r="332" spans="1:9" ht="15.6" x14ac:dyDescent="0.3">
      <c r="A332">
        <v>261</v>
      </c>
      <c r="B332" s="12">
        <v>3491340.1417659698</v>
      </c>
      <c r="H332">
        <v>261</v>
      </c>
      <c r="I332" s="12">
        <v>6087896.0259872656</v>
      </c>
    </row>
    <row r="333" spans="1:9" ht="15.6" x14ac:dyDescent="0.3">
      <c r="A333">
        <v>262</v>
      </c>
      <c r="B333" s="12">
        <v>3538918.0079374257</v>
      </c>
      <c r="H333">
        <v>262</v>
      </c>
      <c r="I333" s="12">
        <v>6297597.2945019426</v>
      </c>
    </row>
    <row r="334" spans="1:9" ht="15.6" x14ac:dyDescent="0.3">
      <c r="A334">
        <v>263</v>
      </c>
      <c r="B334" s="12">
        <v>3419505.8605095558</v>
      </c>
      <c r="H334">
        <v>263</v>
      </c>
      <c r="I334" s="12">
        <v>6040236.4866925348</v>
      </c>
    </row>
    <row r="335" spans="1:9" ht="15.6" x14ac:dyDescent="0.3">
      <c r="A335">
        <v>264</v>
      </c>
      <c r="B335" s="12">
        <v>3448954.549136193</v>
      </c>
      <c r="H335">
        <v>264</v>
      </c>
      <c r="I335" s="12">
        <v>5844436.1804296449</v>
      </c>
    </row>
    <row r="336" spans="1:9" ht="15.6" x14ac:dyDescent="0.3">
      <c r="A336">
        <v>265</v>
      </c>
      <c r="B336" s="12">
        <v>3226223.7685666401</v>
      </c>
      <c r="H336">
        <v>265</v>
      </c>
      <c r="I336" s="12">
        <v>6293932.2717986815</v>
      </c>
    </row>
    <row r="337" spans="1:9" ht="15.6" x14ac:dyDescent="0.3">
      <c r="A337">
        <v>266</v>
      </c>
      <c r="B337" s="12">
        <v>3424508.8860461386</v>
      </c>
      <c r="H337">
        <v>266</v>
      </c>
      <c r="I337" s="12">
        <v>6084616.5964706643</v>
      </c>
    </row>
    <row r="338" spans="1:9" ht="15.6" x14ac:dyDescent="0.3">
      <c r="A338">
        <v>267</v>
      </c>
      <c r="B338" s="12">
        <v>3618833.9274884718</v>
      </c>
      <c r="H338">
        <v>267</v>
      </c>
      <c r="I338" s="12">
        <v>6561641.3578564096</v>
      </c>
    </row>
    <row r="339" spans="1:9" ht="15.6" x14ac:dyDescent="0.3">
      <c r="A339">
        <v>268</v>
      </c>
      <c r="B339" s="12">
        <v>3310160.9066709094</v>
      </c>
      <c r="H339">
        <v>268</v>
      </c>
      <c r="I339" s="12">
        <v>6260811.3898212248</v>
      </c>
    </row>
    <row r="340" spans="1:9" ht="15.6" x14ac:dyDescent="0.3">
      <c r="A340">
        <v>269</v>
      </c>
      <c r="B340" s="12">
        <v>3463008.9568937914</v>
      </c>
      <c r="H340">
        <v>269</v>
      </c>
      <c r="I340" s="12">
        <v>5965485.4288615258</v>
      </c>
    </row>
    <row r="341" spans="1:9" ht="15.6" x14ac:dyDescent="0.3">
      <c r="A341">
        <v>270</v>
      </c>
      <c r="B341" s="12">
        <v>3489181.3843057896</v>
      </c>
      <c r="H341">
        <v>270</v>
      </c>
      <c r="I341" s="12">
        <v>5957736.6923408117</v>
      </c>
    </row>
    <row r="342" spans="1:9" ht="15.6" x14ac:dyDescent="0.3">
      <c r="A342">
        <v>271</v>
      </c>
      <c r="B342" s="12">
        <v>3270260.5396844367</v>
      </c>
      <c r="H342">
        <v>271</v>
      </c>
      <c r="I342" s="12">
        <v>6429015.8296834892</v>
      </c>
    </row>
    <row r="343" spans="1:9" ht="15.6" x14ac:dyDescent="0.3">
      <c r="A343">
        <v>272</v>
      </c>
      <c r="B343" s="12">
        <v>3275706.8060991922</v>
      </c>
      <c r="H343">
        <v>272</v>
      </c>
      <c r="I343" s="12">
        <v>6107134.0957841054</v>
      </c>
    </row>
    <row r="344" spans="1:9" ht="15.6" x14ac:dyDescent="0.3">
      <c r="A344">
        <v>273</v>
      </c>
      <c r="B344" s="12">
        <v>3185519.4596525906</v>
      </c>
      <c r="H344">
        <v>273</v>
      </c>
      <c r="I344" s="12">
        <v>6202203.5647317832</v>
      </c>
    </row>
    <row r="345" spans="1:9" ht="15.6" x14ac:dyDescent="0.3">
      <c r="A345">
        <v>274</v>
      </c>
      <c r="B345" s="12">
        <v>3397476.1436286005</v>
      </c>
      <c r="H345">
        <v>274</v>
      </c>
      <c r="I345" s="12">
        <v>5941747.6805314282</v>
      </c>
    </row>
    <row r="346" spans="1:9" ht="15.6" x14ac:dyDescent="0.3">
      <c r="A346">
        <v>275</v>
      </c>
      <c r="B346" s="12">
        <v>3267941.9764617053</v>
      </c>
      <c r="H346">
        <v>275</v>
      </c>
      <c r="I346" s="12">
        <v>6407460.9311640821</v>
      </c>
    </row>
    <row r="347" spans="1:9" ht="15.6" x14ac:dyDescent="0.3">
      <c r="A347">
        <v>276</v>
      </c>
      <c r="B347" s="12">
        <v>3418071.697569353</v>
      </c>
      <c r="H347">
        <v>276</v>
      </c>
      <c r="I347" s="12">
        <v>6338417.1887080399</v>
      </c>
    </row>
    <row r="348" spans="1:9" ht="15.6" x14ac:dyDescent="0.3">
      <c r="A348">
        <v>277</v>
      </c>
      <c r="B348" s="12">
        <v>3538714.1104047447</v>
      </c>
      <c r="H348">
        <v>277</v>
      </c>
      <c r="I348" s="12">
        <v>5913961.2124834685</v>
      </c>
    </row>
    <row r="349" spans="1:9" ht="15.6" x14ac:dyDescent="0.3">
      <c r="A349">
        <v>278</v>
      </c>
      <c r="B349" s="12">
        <v>3790084.8134483933</v>
      </c>
      <c r="H349">
        <v>278</v>
      </c>
      <c r="I349" s="12">
        <v>5991636.5740167815</v>
      </c>
    </row>
    <row r="350" spans="1:9" ht="15.6" x14ac:dyDescent="0.3">
      <c r="A350">
        <v>279</v>
      </c>
      <c r="B350" s="12">
        <v>3818612.1036719391</v>
      </c>
      <c r="H350">
        <v>279</v>
      </c>
      <c r="I350" s="12">
        <v>6587125.8349469174</v>
      </c>
    </row>
    <row r="351" spans="1:9" ht="15.6" x14ac:dyDescent="0.3">
      <c r="A351">
        <v>280</v>
      </c>
      <c r="B351" s="12">
        <v>3256162.862493</v>
      </c>
      <c r="H351">
        <v>280</v>
      </c>
      <c r="I351" s="12">
        <v>6328633.4721335862</v>
      </c>
    </row>
    <row r="352" spans="1:9" ht="15.6" x14ac:dyDescent="0.3">
      <c r="A352">
        <v>281</v>
      </c>
      <c r="B352" s="12">
        <v>3442256.9906614753</v>
      </c>
      <c r="H352">
        <v>281</v>
      </c>
      <c r="I352" s="12">
        <v>6103522.8777569775</v>
      </c>
    </row>
    <row r="353" spans="1:9" ht="15.6" x14ac:dyDescent="0.3">
      <c r="A353">
        <v>282</v>
      </c>
      <c r="B353" s="12">
        <v>3643547.2929453049</v>
      </c>
      <c r="H353">
        <v>282</v>
      </c>
      <c r="I353" s="12">
        <v>6138210.3415467711</v>
      </c>
    </row>
    <row r="354" spans="1:9" ht="15.6" x14ac:dyDescent="0.3">
      <c r="A354">
        <v>283</v>
      </c>
      <c r="B354" s="12">
        <v>3504237.0676093437</v>
      </c>
      <c r="H354">
        <v>283</v>
      </c>
      <c r="I354" s="12">
        <v>6137855.0271235406</v>
      </c>
    </row>
    <row r="355" spans="1:9" ht="15.6" x14ac:dyDescent="0.3">
      <c r="A355">
        <v>284</v>
      </c>
      <c r="B355" s="12">
        <v>3414783.0667897658</v>
      </c>
      <c r="H355">
        <v>284</v>
      </c>
      <c r="I355" s="12">
        <v>6105926.7960218303</v>
      </c>
    </row>
    <row r="356" spans="1:9" ht="15.6" x14ac:dyDescent="0.3">
      <c r="A356">
        <v>285</v>
      </c>
      <c r="B356" s="12">
        <v>3518799.5660442407</v>
      </c>
      <c r="H356">
        <v>285</v>
      </c>
      <c r="I356" s="12">
        <v>5998517.4382632654</v>
      </c>
    </row>
    <row r="357" spans="1:9" ht="15.6" x14ac:dyDescent="0.3">
      <c r="A357">
        <v>286</v>
      </c>
      <c r="B357" s="12">
        <v>3499365.816032365</v>
      </c>
      <c r="H357">
        <v>286</v>
      </c>
      <c r="I357" s="12">
        <v>6474434.8174574189</v>
      </c>
    </row>
    <row r="358" spans="1:9" ht="15.6" x14ac:dyDescent="0.3">
      <c r="A358">
        <v>287</v>
      </c>
      <c r="B358" s="12">
        <v>3258835.3637143592</v>
      </c>
      <c r="H358">
        <v>287</v>
      </c>
      <c r="I358" s="12">
        <v>6530895.687332144</v>
      </c>
    </row>
    <row r="359" spans="1:9" ht="15.6" x14ac:dyDescent="0.3">
      <c r="A359">
        <v>288</v>
      </c>
      <c r="B359" s="12">
        <v>3413858.3151307232</v>
      </c>
      <c r="H359">
        <v>288</v>
      </c>
      <c r="I359" s="12">
        <v>6348238.5966190752</v>
      </c>
    </row>
    <row r="360" spans="1:9" ht="15.6" x14ac:dyDescent="0.3">
      <c r="A360">
        <v>289</v>
      </c>
      <c r="B360" s="12">
        <v>3515027.6620261171</v>
      </c>
      <c r="H360">
        <v>289</v>
      </c>
      <c r="I360" s="12">
        <v>6363162.792149703</v>
      </c>
    </row>
    <row r="361" spans="1:9" ht="15.6" x14ac:dyDescent="0.3">
      <c r="A361">
        <v>290</v>
      </c>
      <c r="B361" s="12">
        <v>3486254.1759632565</v>
      </c>
      <c r="H361">
        <v>290</v>
      </c>
      <c r="I361" s="12">
        <v>6021147.4478577077</v>
      </c>
    </row>
    <row r="362" spans="1:9" ht="15.6" x14ac:dyDescent="0.3">
      <c r="A362">
        <v>291</v>
      </c>
      <c r="B362" s="12">
        <v>3399965.4865841633</v>
      </c>
      <c r="H362">
        <v>291</v>
      </c>
      <c r="I362" s="12">
        <v>6149850.5492676888</v>
      </c>
    </row>
    <row r="363" spans="1:9" ht="15.6" x14ac:dyDescent="0.3">
      <c r="A363">
        <v>292</v>
      </c>
      <c r="B363" s="12">
        <v>3557533.8567563784</v>
      </c>
      <c r="H363">
        <v>292</v>
      </c>
      <c r="I363" s="12">
        <v>6040063.0961053371</v>
      </c>
    </row>
    <row r="364" spans="1:9" ht="15.6" x14ac:dyDescent="0.3">
      <c r="A364">
        <v>293</v>
      </c>
      <c r="B364" s="12">
        <v>3434276.5295454059</v>
      </c>
      <c r="H364">
        <v>293</v>
      </c>
      <c r="I364" s="12">
        <v>6168183.9586503096</v>
      </c>
    </row>
    <row r="365" spans="1:9" ht="15.6" x14ac:dyDescent="0.3">
      <c r="A365">
        <v>294</v>
      </c>
      <c r="B365" s="12">
        <v>3554823.2410854008</v>
      </c>
      <c r="H365">
        <v>294</v>
      </c>
      <c r="I365" s="12">
        <v>6545205.445518597</v>
      </c>
    </row>
    <row r="366" spans="1:9" ht="15.6" x14ac:dyDescent="0.3">
      <c r="A366">
        <v>295</v>
      </c>
      <c r="B366" s="12">
        <v>3429028.5067489855</v>
      </c>
      <c r="H366">
        <v>295</v>
      </c>
      <c r="I366" s="12">
        <v>6186143.0625338117</v>
      </c>
    </row>
    <row r="367" spans="1:9" ht="15.6" x14ac:dyDescent="0.3">
      <c r="A367">
        <v>296</v>
      </c>
      <c r="B367" s="12">
        <v>3237619.5982414</v>
      </c>
      <c r="H367">
        <v>296</v>
      </c>
      <c r="I367" s="12">
        <v>5813518.6516452897</v>
      </c>
    </row>
    <row r="368" spans="1:9" ht="15.6" x14ac:dyDescent="0.3">
      <c r="A368">
        <v>297</v>
      </c>
      <c r="B368" s="12">
        <v>3466327.965904858</v>
      </c>
      <c r="H368">
        <v>297</v>
      </c>
      <c r="I368" s="12">
        <v>5813547.5411270149</v>
      </c>
    </row>
    <row r="369" spans="1:9" ht="15.6" x14ac:dyDescent="0.3">
      <c r="A369">
        <v>298</v>
      </c>
      <c r="B369" s="12">
        <v>3508068.5344317956</v>
      </c>
      <c r="H369">
        <v>298</v>
      </c>
      <c r="I369" s="12">
        <v>5460684.8832098078</v>
      </c>
    </row>
    <row r="370" spans="1:9" ht="15.6" x14ac:dyDescent="0.3">
      <c r="A370">
        <v>299</v>
      </c>
      <c r="B370" s="12">
        <v>3358779.2897067531</v>
      </c>
      <c r="H370">
        <v>299</v>
      </c>
      <c r="I370" s="12">
        <v>6096948.4276920212</v>
      </c>
    </row>
    <row r="371" spans="1:9" ht="15.6" x14ac:dyDescent="0.3">
      <c r="A371">
        <v>300</v>
      </c>
      <c r="B371" s="12">
        <v>3765648.058521566</v>
      </c>
      <c r="H371">
        <v>300</v>
      </c>
      <c r="I371" s="12">
        <v>6025117.4146372983</v>
      </c>
    </row>
    <row r="372" spans="1:9" ht="15.6" x14ac:dyDescent="0.3">
      <c r="A372">
        <v>301</v>
      </c>
      <c r="B372" s="12">
        <v>3335890.0935351108</v>
      </c>
      <c r="H372">
        <v>301</v>
      </c>
      <c r="I372" s="12">
        <v>6196565.4083065074</v>
      </c>
    </row>
    <row r="373" spans="1:9" ht="15.6" x14ac:dyDescent="0.3">
      <c r="A373">
        <v>302</v>
      </c>
      <c r="B373" s="12">
        <v>3534294.2177227791</v>
      </c>
      <c r="H373">
        <v>302</v>
      </c>
      <c r="I373" s="12">
        <v>6489218.3808608605</v>
      </c>
    </row>
    <row r="374" spans="1:9" ht="15.6" x14ac:dyDescent="0.3">
      <c r="A374">
        <v>303</v>
      </c>
      <c r="B374" s="12">
        <v>4045733.9401425063</v>
      </c>
      <c r="H374">
        <v>303</v>
      </c>
      <c r="I374" s="12">
        <v>6006233.382259544</v>
      </c>
    </row>
    <row r="375" spans="1:9" ht="15.6" x14ac:dyDescent="0.3">
      <c r="A375">
        <v>304</v>
      </c>
      <c r="B375" s="12">
        <v>3333961.9049330899</v>
      </c>
      <c r="H375">
        <v>304</v>
      </c>
      <c r="I375" s="12">
        <v>6843860.5060132314</v>
      </c>
    </row>
    <row r="376" spans="1:9" ht="15.6" x14ac:dyDescent="0.3">
      <c r="A376">
        <v>305</v>
      </c>
      <c r="B376" s="12">
        <v>3396159.8621621062</v>
      </c>
      <c r="H376">
        <v>305</v>
      </c>
      <c r="I376" s="12">
        <v>5970625.4043031437</v>
      </c>
    </row>
    <row r="377" spans="1:9" ht="15.6" x14ac:dyDescent="0.3">
      <c r="A377">
        <v>306</v>
      </c>
      <c r="B377" s="12">
        <v>3390346.3600879358</v>
      </c>
      <c r="H377">
        <v>306</v>
      </c>
      <c r="I377" s="12">
        <v>6297229.8397619762</v>
      </c>
    </row>
    <row r="378" spans="1:9" ht="15.6" x14ac:dyDescent="0.3">
      <c r="A378">
        <v>307</v>
      </c>
      <c r="B378" s="12">
        <v>3667160.6654341631</v>
      </c>
      <c r="H378">
        <v>307</v>
      </c>
      <c r="I378" s="12">
        <v>5928430.5118908277</v>
      </c>
    </row>
    <row r="379" spans="1:9" ht="15.6" x14ac:dyDescent="0.3">
      <c r="A379">
        <v>308</v>
      </c>
      <c r="B379" s="12">
        <v>3292546.195713805</v>
      </c>
      <c r="H379">
        <v>308</v>
      </c>
      <c r="I379" s="12">
        <v>6072533.9732465511</v>
      </c>
    </row>
    <row r="380" spans="1:9" ht="15.6" x14ac:dyDescent="0.3">
      <c r="A380">
        <v>309</v>
      </c>
      <c r="B380" s="12">
        <v>3460283.7328532171</v>
      </c>
      <c r="H380">
        <v>309</v>
      </c>
      <c r="I380" s="12">
        <v>6202469.7343255961</v>
      </c>
    </row>
    <row r="381" spans="1:9" ht="15.6" x14ac:dyDescent="0.3">
      <c r="A381">
        <v>310</v>
      </c>
      <c r="B381" s="12">
        <v>3109883.8841474997</v>
      </c>
      <c r="H381">
        <v>310</v>
      </c>
      <c r="I381" s="12">
        <v>5608447.886396178</v>
      </c>
    </row>
    <row r="382" spans="1:9" ht="15.6" x14ac:dyDescent="0.3">
      <c r="A382">
        <v>311</v>
      </c>
      <c r="B382" s="12">
        <v>3404952.9844099032</v>
      </c>
      <c r="H382">
        <v>311</v>
      </c>
      <c r="I382" s="12">
        <v>6153341.8753045332</v>
      </c>
    </row>
    <row r="383" spans="1:9" ht="15.6" x14ac:dyDescent="0.3">
      <c r="A383">
        <v>312</v>
      </c>
      <c r="B383" s="12">
        <v>3472651.0532990079</v>
      </c>
      <c r="H383">
        <v>312</v>
      </c>
      <c r="I383" s="12">
        <v>6245083.3939908184</v>
      </c>
    </row>
    <row r="384" spans="1:9" ht="15.6" x14ac:dyDescent="0.3">
      <c r="A384">
        <v>313</v>
      </c>
      <c r="B384" s="12">
        <v>3426760.2426843536</v>
      </c>
      <c r="H384">
        <v>313</v>
      </c>
      <c r="I384" s="12">
        <v>6427724.1068807039</v>
      </c>
    </row>
    <row r="385" spans="1:9" ht="15.6" x14ac:dyDescent="0.3">
      <c r="A385">
        <v>314</v>
      </c>
      <c r="B385" s="12">
        <v>3741459.9070260427</v>
      </c>
      <c r="H385">
        <v>314</v>
      </c>
      <c r="I385" s="12">
        <v>6406668.1745770639</v>
      </c>
    </row>
    <row r="386" spans="1:9" ht="15.6" x14ac:dyDescent="0.3">
      <c r="A386">
        <v>315</v>
      </c>
      <c r="B386" s="12">
        <v>3361637.6684757303</v>
      </c>
      <c r="H386">
        <v>315</v>
      </c>
      <c r="I386" s="12">
        <v>6259511.6591823278</v>
      </c>
    </row>
    <row r="387" spans="1:9" ht="15.6" x14ac:dyDescent="0.3">
      <c r="A387">
        <v>316</v>
      </c>
      <c r="B387" s="12">
        <v>3440376.8673995393</v>
      </c>
      <c r="H387">
        <v>316</v>
      </c>
      <c r="I387" s="12">
        <v>5827401.517344512</v>
      </c>
    </row>
    <row r="388" spans="1:9" ht="15.6" x14ac:dyDescent="0.3">
      <c r="A388">
        <v>317</v>
      </c>
      <c r="B388" s="12">
        <v>3374967.8229467962</v>
      </c>
      <c r="H388">
        <v>317</v>
      </c>
      <c r="I388" s="12">
        <v>6151024.345897506</v>
      </c>
    </row>
    <row r="389" spans="1:9" ht="15.6" x14ac:dyDescent="0.3">
      <c r="A389">
        <v>318</v>
      </c>
      <c r="B389" s="12">
        <v>3627372.6372530409</v>
      </c>
      <c r="H389">
        <v>318</v>
      </c>
      <c r="I389" s="12">
        <v>6069418.8173855962</v>
      </c>
    </row>
    <row r="390" spans="1:9" ht="15.6" x14ac:dyDescent="0.3">
      <c r="A390">
        <v>319</v>
      </c>
      <c r="B390" s="12">
        <v>3657782.2294328003</v>
      </c>
      <c r="H390">
        <v>319</v>
      </c>
      <c r="I390" s="12">
        <v>5927612.023376097</v>
      </c>
    </row>
    <row r="391" spans="1:9" ht="15.6" x14ac:dyDescent="0.3">
      <c r="A391">
        <v>320</v>
      </c>
      <c r="B391" s="12">
        <v>3662960.1437635897</v>
      </c>
      <c r="H391">
        <v>320</v>
      </c>
      <c r="I391" s="12">
        <v>6403258.2456139214</v>
      </c>
    </row>
    <row r="392" spans="1:9" ht="15.6" x14ac:dyDescent="0.3">
      <c r="A392">
        <v>321</v>
      </c>
      <c r="B392" s="12">
        <v>3663655.2086731181</v>
      </c>
      <c r="H392">
        <v>321</v>
      </c>
      <c r="I392" s="12">
        <v>6070652.7973657669</v>
      </c>
    </row>
    <row r="393" spans="1:9" ht="15.6" x14ac:dyDescent="0.3">
      <c r="A393">
        <v>322</v>
      </c>
      <c r="B393" s="12">
        <v>3488598.2430397156</v>
      </c>
      <c r="H393">
        <v>322</v>
      </c>
      <c r="I393" s="12">
        <v>6036959.6059845192</v>
      </c>
    </row>
    <row r="394" spans="1:9" ht="15.6" x14ac:dyDescent="0.3">
      <c r="A394">
        <v>323</v>
      </c>
      <c r="B394" s="12">
        <v>3460409.7695437414</v>
      </c>
      <c r="H394">
        <v>323</v>
      </c>
      <c r="I394" s="12">
        <v>6093768.0301079219</v>
      </c>
    </row>
    <row r="395" spans="1:9" ht="15.6" x14ac:dyDescent="0.3">
      <c r="A395">
        <v>324</v>
      </c>
      <c r="B395" s="12">
        <v>3234924.5398122026</v>
      </c>
      <c r="H395">
        <v>324</v>
      </c>
      <c r="I395" s="12">
        <v>6395609.6139418613</v>
      </c>
    </row>
    <row r="396" spans="1:9" ht="15.6" x14ac:dyDescent="0.3">
      <c r="A396">
        <v>325</v>
      </c>
      <c r="B396" s="12">
        <v>3854347.0093554463</v>
      </c>
      <c r="H396">
        <v>325</v>
      </c>
      <c r="I396" s="12">
        <v>6132464.2477958165</v>
      </c>
    </row>
    <row r="397" spans="1:9" ht="15.6" x14ac:dyDescent="0.3">
      <c r="A397">
        <v>326</v>
      </c>
      <c r="B397" s="12">
        <v>3333259.0009331936</v>
      </c>
      <c r="H397">
        <v>326</v>
      </c>
      <c r="I397" s="12">
        <v>6058834.4766564714</v>
      </c>
    </row>
    <row r="398" spans="1:9" ht="15.6" x14ac:dyDescent="0.3">
      <c r="A398">
        <v>327</v>
      </c>
      <c r="B398" s="12">
        <v>3776002.4072797853</v>
      </c>
      <c r="H398">
        <v>327</v>
      </c>
      <c r="I398" s="12">
        <v>6439631.737776719</v>
      </c>
    </row>
    <row r="399" spans="1:9" ht="15.6" x14ac:dyDescent="0.3">
      <c r="A399">
        <v>328</v>
      </c>
      <c r="B399" s="12">
        <v>3480133.5906999907</v>
      </c>
      <c r="H399">
        <v>328</v>
      </c>
      <c r="I399" s="12">
        <v>6209917.8899653675</v>
      </c>
    </row>
    <row r="400" spans="1:9" ht="15.6" x14ac:dyDescent="0.3">
      <c r="A400">
        <v>329</v>
      </c>
      <c r="B400" s="12">
        <v>3555858.3787508514</v>
      </c>
      <c r="H400">
        <v>329</v>
      </c>
      <c r="I400" s="12">
        <v>6056300.3510889607</v>
      </c>
    </row>
    <row r="401" spans="1:9" ht="15.6" x14ac:dyDescent="0.3">
      <c r="A401">
        <v>330</v>
      </c>
      <c r="B401" s="12">
        <v>3553068.0510050035</v>
      </c>
      <c r="H401">
        <v>330</v>
      </c>
      <c r="I401" s="12">
        <v>6297120.2011543224</v>
      </c>
    </row>
    <row r="402" spans="1:9" ht="15.6" x14ac:dyDescent="0.3">
      <c r="A402">
        <v>331</v>
      </c>
      <c r="B402" s="12">
        <v>3258726.7817072109</v>
      </c>
      <c r="H402">
        <v>331</v>
      </c>
      <c r="I402" s="12">
        <v>6421174.1612547813</v>
      </c>
    </row>
    <row r="403" spans="1:9" ht="15.6" x14ac:dyDescent="0.3">
      <c r="A403">
        <v>332</v>
      </c>
      <c r="B403" s="12">
        <v>3630507.0311205969</v>
      </c>
      <c r="H403">
        <v>332</v>
      </c>
      <c r="I403" s="12">
        <v>6353072.5128295356</v>
      </c>
    </row>
    <row r="404" spans="1:9" ht="15.6" x14ac:dyDescent="0.3">
      <c r="A404">
        <v>333</v>
      </c>
      <c r="B404" s="12">
        <v>3523371.0707761082</v>
      </c>
      <c r="H404">
        <v>333</v>
      </c>
      <c r="I404" s="12">
        <v>6475577.256339483</v>
      </c>
    </row>
    <row r="405" spans="1:9" ht="15.6" x14ac:dyDescent="0.3">
      <c r="A405">
        <v>334</v>
      </c>
      <c r="B405" s="12">
        <v>3602170.4828066714</v>
      </c>
      <c r="H405">
        <v>334</v>
      </c>
      <c r="I405" s="12">
        <v>6096090.9090219634</v>
      </c>
    </row>
    <row r="406" spans="1:9" ht="15.6" x14ac:dyDescent="0.3">
      <c r="A406">
        <v>335</v>
      </c>
      <c r="B406" s="12">
        <v>3627923.7088332307</v>
      </c>
      <c r="H406">
        <v>335</v>
      </c>
      <c r="I406" s="12">
        <v>6455399.4574629338</v>
      </c>
    </row>
    <row r="407" spans="1:9" ht="15.6" x14ac:dyDescent="0.3">
      <c r="A407">
        <v>336</v>
      </c>
      <c r="B407" s="12">
        <v>3635780.0849795779</v>
      </c>
      <c r="H407">
        <v>336</v>
      </c>
      <c r="I407" s="12">
        <v>6458673.4893761035</v>
      </c>
    </row>
    <row r="408" spans="1:9" ht="15.6" x14ac:dyDescent="0.3">
      <c r="A408">
        <v>337</v>
      </c>
      <c r="B408" s="12">
        <v>3390954.8037714595</v>
      </c>
      <c r="H408">
        <v>337</v>
      </c>
      <c r="I408" s="12">
        <v>6092505.3223518701</v>
      </c>
    </row>
    <row r="409" spans="1:9" ht="15.6" x14ac:dyDescent="0.3">
      <c r="A409">
        <v>338</v>
      </c>
      <c r="B409" s="12">
        <v>3366805.9847010248</v>
      </c>
      <c r="H409">
        <v>338</v>
      </c>
      <c r="I409" s="12">
        <v>6127312.5742306234</v>
      </c>
    </row>
    <row r="410" spans="1:9" ht="15.6" x14ac:dyDescent="0.3">
      <c r="A410">
        <v>339</v>
      </c>
      <c r="B410" s="12">
        <v>3317208.8986982377</v>
      </c>
      <c r="H410">
        <v>339</v>
      </c>
      <c r="I410" s="12">
        <v>6146734.3284000717</v>
      </c>
    </row>
    <row r="411" spans="1:9" ht="15.6" x14ac:dyDescent="0.3">
      <c r="A411">
        <v>340</v>
      </c>
      <c r="B411" s="12">
        <v>3416188.8485497967</v>
      </c>
      <c r="H411">
        <v>340</v>
      </c>
      <c r="I411" s="12">
        <v>6625094.2601610711</v>
      </c>
    </row>
    <row r="412" spans="1:9" ht="15.6" x14ac:dyDescent="0.3">
      <c r="A412">
        <v>341</v>
      </c>
      <c r="B412" s="12">
        <v>3465210.4347311771</v>
      </c>
      <c r="H412">
        <v>341</v>
      </c>
      <c r="I412" s="12">
        <v>6007368.8197280513</v>
      </c>
    </row>
    <row r="413" spans="1:9" ht="15.6" x14ac:dyDescent="0.3">
      <c r="A413">
        <v>342</v>
      </c>
      <c r="B413" s="12">
        <v>3563777.2422319413</v>
      </c>
      <c r="H413">
        <v>342</v>
      </c>
      <c r="I413" s="12">
        <v>6211970.9294573078</v>
      </c>
    </row>
    <row r="414" spans="1:9" ht="15.6" x14ac:dyDescent="0.3">
      <c r="A414">
        <v>343</v>
      </c>
      <c r="B414" s="12">
        <v>3451079.0642019529</v>
      </c>
      <c r="H414">
        <v>343</v>
      </c>
      <c r="I414" s="12">
        <v>6010137.1253350638</v>
      </c>
    </row>
    <row r="415" spans="1:9" ht="15.6" x14ac:dyDescent="0.3">
      <c r="A415">
        <v>344</v>
      </c>
      <c r="B415" s="12">
        <v>3563052.2512692823</v>
      </c>
      <c r="H415">
        <v>344</v>
      </c>
      <c r="I415" s="12">
        <v>6051802.5406419225</v>
      </c>
    </row>
    <row r="416" spans="1:9" ht="15.6" x14ac:dyDescent="0.3">
      <c r="A416">
        <v>345</v>
      </c>
      <c r="B416" s="12">
        <v>3338915.7772965557</v>
      </c>
      <c r="H416">
        <v>345</v>
      </c>
      <c r="I416" s="12">
        <v>6718628.3930667313</v>
      </c>
    </row>
    <row r="417" spans="1:9" ht="15.6" x14ac:dyDescent="0.3">
      <c r="A417">
        <v>346</v>
      </c>
      <c r="B417" s="12">
        <v>3547475.0822743271</v>
      </c>
      <c r="H417">
        <v>346</v>
      </c>
      <c r="I417" s="12">
        <v>6620898.673305396</v>
      </c>
    </row>
    <row r="418" spans="1:9" ht="15.6" x14ac:dyDescent="0.3">
      <c r="A418">
        <v>347</v>
      </c>
      <c r="B418" s="12">
        <v>3573696.7546028756</v>
      </c>
      <c r="H418">
        <v>347</v>
      </c>
      <c r="I418" s="12">
        <v>6377905.8949180143</v>
      </c>
    </row>
    <row r="419" spans="1:9" ht="15.6" x14ac:dyDescent="0.3">
      <c r="A419">
        <v>348</v>
      </c>
      <c r="B419" s="12">
        <v>3409598.1499392176</v>
      </c>
      <c r="H419">
        <v>348</v>
      </c>
      <c r="I419" s="12">
        <v>6518180.4158283547</v>
      </c>
    </row>
    <row r="420" spans="1:9" ht="15.6" x14ac:dyDescent="0.3">
      <c r="A420">
        <v>349</v>
      </c>
      <c r="B420" s="12">
        <v>3302609.5866434313</v>
      </c>
      <c r="H420">
        <v>349</v>
      </c>
      <c r="I420" s="12">
        <v>6080927.3862261986</v>
      </c>
    </row>
    <row r="421" spans="1:9" ht="15.6" x14ac:dyDescent="0.3">
      <c r="A421">
        <v>350</v>
      </c>
      <c r="B421" s="12">
        <v>3546684.4685731167</v>
      </c>
      <c r="H421">
        <v>350</v>
      </c>
      <c r="I421" s="12">
        <v>5950885.538658916</v>
      </c>
    </row>
    <row r="422" spans="1:9" ht="15.6" x14ac:dyDescent="0.3">
      <c r="A422">
        <v>351</v>
      </c>
      <c r="B422" s="12">
        <v>3454612.900885107</v>
      </c>
      <c r="H422">
        <v>351</v>
      </c>
      <c r="I422" s="12">
        <v>5941756.5340404799</v>
      </c>
    </row>
    <row r="423" spans="1:9" ht="15.6" x14ac:dyDescent="0.3">
      <c r="A423">
        <v>352</v>
      </c>
      <c r="B423" s="12">
        <v>3406240.1456900914</v>
      </c>
      <c r="H423">
        <v>352</v>
      </c>
      <c r="I423" s="12">
        <v>6583398.0973501997</v>
      </c>
    </row>
    <row r="424" spans="1:9" ht="15.6" x14ac:dyDescent="0.3">
      <c r="A424">
        <v>353</v>
      </c>
      <c r="B424" s="12">
        <v>3493884.8209849074</v>
      </c>
      <c r="H424">
        <v>353</v>
      </c>
      <c r="I424" s="12">
        <v>6100159.6817141231</v>
      </c>
    </row>
    <row r="425" spans="1:9" ht="15.6" x14ac:dyDescent="0.3">
      <c r="A425">
        <v>354</v>
      </c>
      <c r="B425" s="12">
        <v>3517572.696750388</v>
      </c>
      <c r="H425">
        <v>354</v>
      </c>
      <c r="I425" s="12">
        <v>6210167.0947379312</v>
      </c>
    </row>
    <row r="426" spans="1:9" ht="15.6" x14ac:dyDescent="0.3">
      <c r="A426">
        <v>355</v>
      </c>
      <c r="B426" s="12">
        <v>3238938.105797274</v>
      </c>
      <c r="H426">
        <v>355</v>
      </c>
      <c r="I426" s="12">
        <v>6476939.7749473155</v>
      </c>
    </row>
    <row r="427" spans="1:9" ht="15.6" x14ac:dyDescent="0.3">
      <c r="A427">
        <v>356</v>
      </c>
      <c r="B427" s="12">
        <v>3341650.7963239467</v>
      </c>
      <c r="H427">
        <v>356</v>
      </c>
      <c r="I427" s="12">
        <v>6342302.2405191632</v>
      </c>
    </row>
    <row r="428" spans="1:9" ht="15.6" x14ac:dyDescent="0.3">
      <c r="A428">
        <v>357</v>
      </c>
      <c r="B428" s="12">
        <v>3568098.5680107358</v>
      </c>
      <c r="H428">
        <v>357</v>
      </c>
      <c r="I428" s="12">
        <v>5953455.752529976</v>
      </c>
    </row>
    <row r="429" spans="1:9" ht="15.6" x14ac:dyDescent="0.3">
      <c r="A429">
        <v>358</v>
      </c>
      <c r="B429" s="12">
        <v>3397992.0729130399</v>
      </c>
      <c r="H429">
        <v>358</v>
      </c>
      <c r="I429" s="12">
        <v>6643984.3671797868</v>
      </c>
    </row>
    <row r="430" spans="1:9" ht="15.6" x14ac:dyDescent="0.3">
      <c r="A430">
        <v>359</v>
      </c>
      <c r="B430" s="12">
        <v>3780643.8676527184</v>
      </c>
      <c r="H430">
        <v>359</v>
      </c>
      <c r="I430" s="12">
        <v>6931202.1652873913</v>
      </c>
    </row>
    <row r="431" spans="1:9" ht="15.6" x14ac:dyDescent="0.3">
      <c r="A431">
        <v>360</v>
      </c>
      <c r="B431" s="12">
        <v>3544876.2269843607</v>
      </c>
      <c r="H431">
        <v>360</v>
      </c>
      <c r="I431" s="12">
        <v>6640612.4304148983</v>
      </c>
    </row>
    <row r="432" spans="1:9" ht="15.6" x14ac:dyDescent="0.3">
      <c r="A432">
        <v>361</v>
      </c>
      <c r="B432" s="12">
        <v>3687743.494630334</v>
      </c>
      <c r="H432">
        <v>361</v>
      </c>
      <c r="I432" s="12">
        <v>5828213.9244571431</v>
      </c>
    </row>
    <row r="433" spans="1:9" ht="15.6" x14ac:dyDescent="0.3">
      <c r="A433">
        <v>362</v>
      </c>
      <c r="B433" s="12">
        <v>3438713.7957633897</v>
      </c>
      <c r="H433">
        <v>362</v>
      </c>
      <c r="I433" s="12">
        <v>6266321.9881115407</v>
      </c>
    </row>
    <row r="434" spans="1:9" ht="15.6" x14ac:dyDescent="0.3">
      <c r="A434">
        <v>363</v>
      </c>
      <c r="B434" s="12">
        <v>3282787.9549147123</v>
      </c>
      <c r="H434">
        <v>363</v>
      </c>
      <c r="I434" s="12">
        <v>6304084.2181709902</v>
      </c>
    </row>
    <row r="435" spans="1:9" ht="15.6" x14ac:dyDescent="0.3">
      <c r="A435">
        <v>364</v>
      </c>
      <c r="B435" s="12">
        <v>3436275.1583917942</v>
      </c>
      <c r="H435">
        <v>364</v>
      </c>
      <c r="I435" s="12">
        <v>6185973.4808051055</v>
      </c>
    </row>
    <row r="436" spans="1:9" ht="15.6" x14ac:dyDescent="0.3">
      <c r="A436">
        <v>365</v>
      </c>
      <c r="B436" s="12">
        <v>3572732.1238999427</v>
      </c>
      <c r="H436">
        <v>365</v>
      </c>
      <c r="I436" s="12">
        <v>6011652.2390076723</v>
      </c>
    </row>
    <row r="437" spans="1:9" ht="15.6" x14ac:dyDescent="0.3">
      <c r="A437">
        <v>366</v>
      </c>
      <c r="B437" s="12">
        <v>3410514.4998525917</v>
      </c>
      <c r="H437">
        <v>366</v>
      </c>
      <c r="I437" s="12">
        <v>6137600.61676093</v>
      </c>
    </row>
    <row r="438" spans="1:9" ht="15.6" x14ac:dyDescent="0.3">
      <c r="A438">
        <v>367</v>
      </c>
      <c r="B438" s="12">
        <v>3564616.2613556776</v>
      </c>
      <c r="H438">
        <v>367</v>
      </c>
      <c r="I438" s="12">
        <v>6320243.8444941491</v>
      </c>
    </row>
    <row r="439" spans="1:9" ht="15.6" x14ac:dyDescent="0.3">
      <c r="A439">
        <v>368</v>
      </c>
      <c r="B439" s="12">
        <v>3367585.7156694536</v>
      </c>
      <c r="H439">
        <v>368</v>
      </c>
      <c r="I439" s="12">
        <v>5895424.4931887574</v>
      </c>
    </row>
    <row r="440" spans="1:9" ht="15.6" x14ac:dyDescent="0.3">
      <c r="A440">
        <v>369</v>
      </c>
      <c r="B440" s="12">
        <v>3626184.3185816952</v>
      </c>
      <c r="H440">
        <v>369</v>
      </c>
      <c r="I440" s="12">
        <v>6179841.0662463093</v>
      </c>
    </row>
    <row r="441" spans="1:9" ht="15.6" x14ac:dyDescent="0.3">
      <c r="A441">
        <v>370</v>
      </c>
      <c r="B441" s="12">
        <v>3249977.5254616854</v>
      </c>
      <c r="H441">
        <v>370</v>
      </c>
      <c r="I441" s="12">
        <v>6389171.6045297198</v>
      </c>
    </row>
    <row r="442" spans="1:9" ht="15.6" x14ac:dyDescent="0.3">
      <c r="A442">
        <v>371</v>
      </c>
      <c r="B442" s="12">
        <v>3407484.8585146647</v>
      </c>
      <c r="H442">
        <v>371</v>
      </c>
      <c r="I442" s="12">
        <v>6167119.4811666384</v>
      </c>
    </row>
    <row r="443" spans="1:9" ht="15.6" x14ac:dyDescent="0.3">
      <c r="A443">
        <v>372</v>
      </c>
      <c r="B443" s="12">
        <v>3531131.2996969037</v>
      </c>
      <c r="H443">
        <v>372</v>
      </c>
      <c r="I443" s="12">
        <v>6392036.2969103595</v>
      </c>
    </row>
    <row r="444" spans="1:9" ht="15.6" x14ac:dyDescent="0.3">
      <c r="A444">
        <v>373</v>
      </c>
      <c r="B444" s="12">
        <v>3406762.9430084559</v>
      </c>
      <c r="H444">
        <v>373</v>
      </c>
      <c r="I444" s="12">
        <v>6540830.3402343225</v>
      </c>
    </row>
    <row r="445" spans="1:9" ht="15.6" x14ac:dyDescent="0.3">
      <c r="A445">
        <v>374</v>
      </c>
      <c r="B445" s="12">
        <v>3429254.3463450656</v>
      </c>
      <c r="H445">
        <v>374</v>
      </c>
      <c r="I445" s="12">
        <v>6020376.66057193</v>
      </c>
    </row>
    <row r="446" spans="1:9" ht="15.6" x14ac:dyDescent="0.3">
      <c r="A446">
        <v>375</v>
      </c>
      <c r="B446" s="12">
        <v>3733349.9155305023</v>
      </c>
      <c r="H446">
        <v>375</v>
      </c>
      <c r="I446" s="12">
        <v>6619710.1724731987</v>
      </c>
    </row>
    <row r="447" spans="1:9" ht="15.6" x14ac:dyDescent="0.3">
      <c r="A447">
        <v>376</v>
      </c>
      <c r="B447" s="12">
        <v>3367872.2439310057</v>
      </c>
      <c r="H447">
        <v>376</v>
      </c>
      <c r="I447" s="12">
        <v>6252832.9084176309</v>
      </c>
    </row>
    <row r="448" spans="1:9" ht="15.6" x14ac:dyDescent="0.3">
      <c r="A448">
        <v>377</v>
      </c>
      <c r="B448" s="12">
        <v>3192164.0478988886</v>
      </c>
      <c r="H448">
        <v>377</v>
      </c>
      <c r="I448" s="12">
        <v>6149806.8207405638</v>
      </c>
    </row>
    <row r="449" spans="1:9" ht="15.6" x14ac:dyDescent="0.3">
      <c r="A449">
        <v>378</v>
      </c>
      <c r="B449" s="12">
        <v>3746165.2309337789</v>
      </c>
      <c r="H449">
        <v>378</v>
      </c>
      <c r="I449" s="12">
        <v>6179232.725250151</v>
      </c>
    </row>
    <row r="450" spans="1:9" ht="15.6" x14ac:dyDescent="0.3">
      <c r="A450">
        <v>379</v>
      </c>
      <c r="B450" s="12">
        <v>3511912.4756148197</v>
      </c>
      <c r="H450">
        <v>379</v>
      </c>
      <c r="I450" s="12">
        <v>6302041.8228272423</v>
      </c>
    </row>
    <row r="451" spans="1:9" ht="15.6" x14ac:dyDescent="0.3">
      <c r="A451">
        <v>380</v>
      </c>
      <c r="B451" s="12">
        <v>3751226.9739432661</v>
      </c>
      <c r="H451">
        <v>380</v>
      </c>
      <c r="I451" s="12">
        <v>6549920.0193240419</v>
      </c>
    </row>
    <row r="452" spans="1:9" ht="15.6" x14ac:dyDescent="0.3">
      <c r="A452">
        <v>381</v>
      </c>
      <c r="B452" s="12">
        <v>3601115.4256616551</v>
      </c>
      <c r="H452">
        <v>381</v>
      </c>
      <c r="I452" s="12">
        <v>6146389.0961898947</v>
      </c>
    </row>
    <row r="453" spans="1:9" ht="15.6" x14ac:dyDescent="0.3">
      <c r="A453">
        <v>382</v>
      </c>
      <c r="B453" s="12">
        <v>3592568.3475082051</v>
      </c>
      <c r="H453">
        <v>382</v>
      </c>
      <c r="I453" s="12">
        <v>6241803.9020862989</v>
      </c>
    </row>
    <row r="454" spans="1:9" ht="15.6" x14ac:dyDescent="0.3">
      <c r="A454">
        <v>383</v>
      </c>
      <c r="B454" s="12">
        <v>3165679.0436084638</v>
      </c>
      <c r="H454">
        <v>383</v>
      </c>
      <c r="I454" s="12">
        <v>6273848.3589968476</v>
      </c>
    </row>
    <row r="455" spans="1:9" ht="15.6" x14ac:dyDescent="0.3">
      <c r="A455">
        <v>384</v>
      </c>
      <c r="B455" s="12">
        <v>3530819.6553191221</v>
      </c>
      <c r="H455">
        <v>384</v>
      </c>
      <c r="I455" s="12">
        <v>5765374.4028749885</v>
      </c>
    </row>
    <row r="456" spans="1:9" ht="15.6" x14ac:dyDescent="0.3">
      <c r="A456">
        <v>385</v>
      </c>
      <c r="B456" s="12">
        <v>3405749.8468432184</v>
      </c>
      <c r="H456">
        <v>385</v>
      </c>
      <c r="I456" s="12">
        <v>5975575.0395570677</v>
      </c>
    </row>
    <row r="457" spans="1:9" ht="15.6" x14ac:dyDescent="0.3">
      <c r="A457">
        <v>386</v>
      </c>
      <c r="B457" s="12">
        <v>3565984.597620199</v>
      </c>
      <c r="H457">
        <v>386</v>
      </c>
      <c r="I457" s="12">
        <v>6018267.721880571</v>
      </c>
    </row>
    <row r="458" spans="1:9" ht="15.6" x14ac:dyDescent="0.3">
      <c r="A458">
        <v>387</v>
      </c>
      <c r="B458" s="12">
        <v>3766931.0806130306</v>
      </c>
      <c r="H458">
        <v>387</v>
      </c>
      <c r="I458" s="12">
        <v>6387189.9617419327</v>
      </c>
    </row>
    <row r="459" spans="1:9" ht="15.6" x14ac:dyDescent="0.3">
      <c r="A459">
        <v>388</v>
      </c>
      <c r="B459" s="12">
        <v>3285220.6579991942</v>
      </c>
      <c r="H459">
        <v>388</v>
      </c>
      <c r="I459" s="12">
        <v>6200390.0021634828</v>
      </c>
    </row>
    <row r="460" spans="1:9" ht="15.6" x14ac:dyDescent="0.3">
      <c r="A460">
        <v>389</v>
      </c>
      <c r="B460" s="12">
        <v>3631108.9725943841</v>
      </c>
      <c r="H460">
        <v>389</v>
      </c>
      <c r="I460" s="12">
        <v>6671004.8009999413</v>
      </c>
    </row>
    <row r="461" spans="1:9" ht="15.6" x14ac:dyDescent="0.3">
      <c r="A461">
        <v>390</v>
      </c>
      <c r="B461" s="12">
        <v>3458404.0733142528</v>
      </c>
      <c r="H461">
        <v>390</v>
      </c>
      <c r="I461" s="12">
        <v>6536424.0994551042</v>
      </c>
    </row>
    <row r="462" spans="1:9" ht="15.6" x14ac:dyDescent="0.3">
      <c r="A462">
        <v>391</v>
      </c>
      <c r="B462" s="12">
        <v>3263511.9023724082</v>
      </c>
      <c r="H462">
        <v>391</v>
      </c>
      <c r="I462" s="12">
        <v>6226639.07598441</v>
      </c>
    </row>
    <row r="463" spans="1:9" ht="15.6" x14ac:dyDescent="0.3">
      <c r="A463">
        <v>392</v>
      </c>
      <c r="B463" s="12">
        <v>3105737.8785160538</v>
      </c>
      <c r="H463">
        <v>392</v>
      </c>
      <c r="I463" s="12">
        <v>6404312.8654121282</v>
      </c>
    </row>
    <row r="464" spans="1:9" ht="15.6" x14ac:dyDescent="0.3">
      <c r="A464">
        <v>393</v>
      </c>
      <c r="B464" s="12">
        <v>3227666.6924519986</v>
      </c>
      <c r="H464">
        <v>393</v>
      </c>
      <c r="I464" s="12">
        <v>6051128.7017617533</v>
      </c>
    </row>
    <row r="465" spans="1:9" ht="15.6" x14ac:dyDescent="0.3">
      <c r="A465">
        <v>394</v>
      </c>
      <c r="B465" s="12">
        <v>3376700.8163646623</v>
      </c>
      <c r="H465">
        <v>394</v>
      </c>
      <c r="I465" s="12">
        <v>6109853.5435980977</v>
      </c>
    </row>
    <row r="466" spans="1:9" ht="15.6" x14ac:dyDescent="0.3">
      <c r="A466">
        <v>395</v>
      </c>
      <c r="B466" s="12">
        <v>3415280.0925057256</v>
      </c>
      <c r="H466">
        <v>395</v>
      </c>
      <c r="I466" s="12">
        <v>6228587.9537048163</v>
      </c>
    </row>
    <row r="467" spans="1:9" ht="15.6" x14ac:dyDescent="0.3">
      <c r="A467">
        <v>396</v>
      </c>
      <c r="B467" s="12">
        <v>3770107.4258054094</v>
      </c>
      <c r="H467">
        <v>396</v>
      </c>
      <c r="I467" s="12">
        <v>6304865.6825522194</v>
      </c>
    </row>
    <row r="468" spans="1:9" ht="15.6" x14ac:dyDescent="0.3">
      <c r="A468">
        <v>397</v>
      </c>
      <c r="B468" s="12">
        <v>3183526.6254688399</v>
      </c>
      <c r="H468">
        <v>397</v>
      </c>
      <c r="I468" s="12">
        <v>6130261.9217346776</v>
      </c>
    </row>
    <row r="469" spans="1:9" ht="15.6" x14ac:dyDescent="0.3">
      <c r="A469">
        <v>398</v>
      </c>
      <c r="B469" s="12">
        <v>3353413.0217953972</v>
      </c>
      <c r="H469">
        <v>398</v>
      </c>
      <c r="I469" s="12">
        <v>6285083.4562691413</v>
      </c>
    </row>
    <row r="470" spans="1:9" ht="15.6" x14ac:dyDescent="0.3">
      <c r="A470">
        <v>399</v>
      </c>
      <c r="B470" s="12">
        <v>3550305.5543260775</v>
      </c>
      <c r="H470">
        <v>399</v>
      </c>
      <c r="I470" s="12">
        <v>6233609.1978816977</v>
      </c>
    </row>
    <row r="471" spans="1:9" ht="15.6" x14ac:dyDescent="0.3">
      <c r="A471">
        <v>400</v>
      </c>
      <c r="B471" s="12">
        <v>3360058.3412797884</v>
      </c>
      <c r="H471">
        <v>400</v>
      </c>
      <c r="I471" s="12">
        <v>6399951.1343292249</v>
      </c>
    </row>
    <row r="472" spans="1:9" ht="15.6" x14ac:dyDescent="0.3">
      <c r="A472">
        <v>401</v>
      </c>
      <c r="B472" s="12">
        <v>3447908.4961497807</v>
      </c>
      <c r="H472">
        <v>401</v>
      </c>
      <c r="I472" s="12">
        <v>6135034.6700837398</v>
      </c>
    </row>
    <row r="473" spans="1:9" ht="15.6" x14ac:dyDescent="0.3">
      <c r="A473">
        <v>402</v>
      </c>
      <c r="B473" s="12">
        <v>3576490.1283627925</v>
      </c>
      <c r="H473">
        <v>402</v>
      </c>
      <c r="I473" s="12">
        <v>6152510.0034095393</v>
      </c>
    </row>
    <row r="474" spans="1:9" ht="15.6" x14ac:dyDescent="0.3">
      <c r="A474">
        <v>403</v>
      </c>
      <c r="B474" s="12">
        <v>3519147.6798362336</v>
      </c>
      <c r="H474">
        <v>403</v>
      </c>
      <c r="I474" s="12">
        <v>6388894.1923335791</v>
      </c>
    </row>
    <row r="475" spans="1:9" ht="15.6" x14ac:dyDescent="0.3">
      <c r="A475">
        <v>404</v>
      </c>
      <c r="B475" s="12">
        <v>3582359.5054339711</v>
      </c>
      <c r="H475">
        <v>404</v>
      </c>
      <c r="I475" s="12">
        <v>6490407.6213223785</v>
      </c>
    </row>
    <row r="476" spans="1:9" ht="15.6" x14ac:dyDescent="0.3">
      <c r="A476">
        <v>405</v>
      </c>
      <c r="B476" s="12">
        <v>3425943.0164201879</v>
      </c>
      <c r="H476">
        <v>405</v>
      </c>
      <c r="I476" s="12">
        <v>5847701.9419809589</v>
      </c>
    </row>
    <row r="477" spans="1:9" ht="15.6" x14ac:dyDescent="0.3">
      <c r="A477">
        <v>406</v>
      </c>
      <c r="B477" s="12">
        <v>3562637.9997773431</v>
      </c>
      <c r="H477">
        <v>406</v>
      </c>
      <c r="I477" s="12">
        <v>6248461.7243540809</v>
      </c>
    </row>
    <row r="478" spans="1:9" ht="15.6" x14ac:dyDescent="0.3">
      <c r="A478">
        <v>407</v>
      </c>
      <c r="B478" s="12">
        <v>3572039.2654134906</v>
      </c>
      <c r="H478">
        <v>407</v>
      </c>
      <c r="I478" s="12">
        <v>5809640.1780660674</v>
      </c>
    </row>
    <row r="479" spans="1:9" ht="15.6" x14ac:dyDescent="0.3">
      <c r="A479">
        <v>408</v>
      </c>
      <c r="B479" s="12">
        <v>3396521.2653768798</v>
      </c>
      <c r="H479">
        <v>408</v>
      </c>
      <c r="I479" s="12">
        <v>5503428.7953564068</v>
      </c>
    </row>
    <row r="480" spans="1:9" ht="15.6" x14ac:dyDescent="0.3">
      <c r="A480">
        <v>409</v>
      </c>
      <c r="B480" s="12">
        <v>3465560.038418192</v>
      </c>
      <c r="H480">
        <v>409</v>
      </c>
      <c r="I480" s="12">
        <v>6287316.2464991007</v>
      </c>
    </row>
    <row r="481" spans="1:9" ht="15.6" x14ac:dyDescent="0.3">
      <c r="A481">
        <v>410</v>
      </c>
      <c r="B481" s="12">
        <v>3022881.7053370024</v>
      </c>
      <c r="H481">
        <v>410</v>
      </c>
      <c r="I481" s="12">
        <v>6733209.8637949275</v>
      </c>
    </row>
    <row r="482" spans="1:9" ht="15.6" x14ac:dyDescent="0.3">
      <c r="A482">
        <v>411</v>
      </c>
      <c r="B482" s="12">
        <v>3564971.2118334631</v>
      </c>
      <c r="H482">
        <v>411</v>
      </c>
      <c r="I482" s="12">
        <v>6481150.8996727038</v>
      </c>
    </row>
    <row r="483" spans="1:9" ht="15.6" x14ac:dyDescent="0.3">
      <c r="A483">
        <v>412</v>
      </c>
      <c r="B483" s="12">
        <v>3317764.6594003676</v>
      </c>
      <c r="H483">
        <v>412</v>
      </c>
      <c r="I483" s="12">
        <v>6499203.0032958593</v>
      </c>
    </row>
    <row r="484" spans="1:9" ht="15.6" x14ac:dyDescent="0.3">
      <c r="A484">
        <v>413</v>
      </c>
      <c r="B484" s="12">
        <v>3295651.5314340452</v>
      </c>
      <c r="H484">
        <v>413</v>
      </c>
      <c r="I484" s="12">
        <v>6117539.0705008581</v>
      </c>
    </row>
    <row r="485" spans="1:9" ht="15.6" x14ac:dyDescent="0.3">
      <c r="A485">
        <v>414</v>
      </c>
      <c r="B485" s="12">
        <v>3710691.0607785727</v>
      </c>
      <c r="H485">
        <v>414</v>
      </c>
      <c r="I485" s="12">
        <v>6174574.7517714007</v>
      </c>
    </row>
    <row r="486" spans="1:9" ht="15.6" x14ac:dyDescent="0.3">
      <c r="A486">
        <v>415</v>
      </c>
      <c r="B486" s="12">
        <v>3326798.8782947487</v>
      </c>
      <c r="H486">
        <v>415</v>
      </c>
      <c r="I486" s="12">
        <v>6279607.7828608947</v>
      </c>
    </row>
    <row r="487" spans="1:9" ht="15.6" x14ac:dyDescent="0.3">
      <c r="A487">
        <v>416</v>
      </c>
      <c r="B487" s="12">
        <v>3580286.9251766605</v>
      </c>
      <c r="H487">
        <v>416</v>
      </c>
      <c r="I487" s="12">
        <v>6067120.4455438452</v>
      </c>
    </row>
    <row r="488" spans="1:9" ht="15.6" x14ac:dyDescent="0.3">
      <c r="A488">
        <v>417</v>
      </c>
      <c r="B488" s="12">
        <v>3498133.7629451626</v>
      </c>
      <c r="H488">
        <v>417</v>
      </c>
      <c r="I488" s="12">
        <v>5821496.7816494787</v>
      </c>
    </row>
    <row r="489" spans="1:9" ht="15.6" x14ac:dyDescent="0.3">
      <c r="A489">
        <v>418</v>
      </c>
      <c r="B489" s="12">
        <v>3200403.425591928</v>
      </c>
      <c r="H489">
        <v>418</v>
      </c>
      <c r="I489" s="12">
        <v>6014390.0414343299</v>
      </c>
    </row>
    <row r="490" spans="1:9" ht="15.6" x14ac:dyDescent="0.3">
      <c r="A490">
        <v>419</v>
      </c>
      <c r="B490" s="12">
        <v>3482033.0133461887</v>
      </c>
      <c r="H490">
        <v>419</v>
      </c>
      <c r="I490" s="12">
        <v>6153795.9052078566</v>
      </c>
    </row>
    <row r="491" spans="1:9" ht="15.6" x14ac:dyDescent="0.3">
      <c r="A491">
        <v>420</v>
      </c>
      <c r="B491" s="12">
        <v>3391741.8104508854</v>
      </c>
      <c r="H491">
        <v>420</v>
      </c>
      <c r="I491" s="12">
        <v>6116021.2911200505</v>
      </c>
    </row>
    <row r="492" spans="1:9" ht="15.6" x14ac:dyDescent="0.3">
      <c r="A492">
        <v>421</v>
      </c>
      <c r="B492" s="12">
        <v>3552282.8664387008</v>
      </c>
      <c r="H492">
        <v>421</v>
      </c>
      <c r="I492" s="12">
        <v>6260838.7651103223</v>
      </c>
    </row>
    <row r="493" spans="1:9" ht="15.6" x14ac:dyDescent="0.3">
      <c r="A493">
        <v>422</v>
      </c>
      <c r="B493" s="12">
        <v>3517942.3687935248</v>
      </c>
      <c r="H493">
        <v>422</v>
      </c>
      <c r="I493" s="12">
        <v>6525150.3413587259</v>
      </c>
    </row>
    <row r="494" spans="1:9" ht="15.6" x14ac:dyDescent="0.3">
      <c r="A494">
        <v>423</v>
      </c>
      <c r="B494" s="12">
        <v>3497828.8548580613</v>
      </c>
      <c r="H494">
        <v>423</v>
      </c>
      <c r="I494" s="12">
        <v>6168521.9688019278</v>
      </c>
    </row>
    <row r="495" spans="1:9" ht="15.6" x14ac:dyDescent="0.3">
      <c r="A495">
        <v>424</v>
      </c>
      <c r="B495" s="12">
        <v>3363368.5119515732</v>
      </c>
      <c r="H495">
        <v>424</v>
      </c>
      <c r="I495" s="12">
        <v>6181600.7411991693</v>
      </c>
    </row>
    <row r="496" spans="1:9" ht="15.6" x14ac:dyDescent="0.3">
      <c r="A496">
        <v>425</v>
      </c>
      <c r="B496" s="12">
        <v>3369616.9874046338</v>
      </c>
      <c r="H496">
        <v>425</v>
      </c>
      <c r="I496" s="12">
        <v>6466982.4003444696</v>
      </c>
    </row>
    <row r="497" spans="1:9" ht="15.6" x14ac:dyDescent="0.3">
      <c r="A497">
        <v>426</v>
      </c>
      <c r="B497" s="12">
        <v>3602266.4992164024</v>
      </c>
      <c r="H497">
        <v>426</v>
      </c>
      <c r="I497" s="12">
        <v>6393462.5375848943</v>
      </c>
    </row>
    <row r="498" spans="1:9" ht="15.6" x14ac:dyDescent="0.3">
      <c r="A498">
        <v>427</v>
      </c>
      <c r="B498" s="12">
        <v>3430809.2798888371</v>
      </c>
      <c r="H498">
        <v>427</v>
      </c>
      <c r="I498" s="12">
        <v>6463920.3291827105</v>
      </c>
    </row>
    <row r="499" spans="1:9" ht="15.6" x14ac:dyDescent="0.3">
      <c r="A499">
        <v>428</v>
      </c>
      <c r="B499" s="12">
        <v>3418304.0231601526</v>
      </c>
      <c r="H499">
        <v>428</v>
      </c>
      <c r="I499" s="12">
        <v>6436226.4529252648</v>
      </c>
    </row>
    <row r="500" spans="1:9" ht="15.6" x14ac:dyDescent="0.3">
      <c r="A500">
        <v>429</v>
      </c>
      <c r="B500" s="12">
        <v>3469653.5074390764</v>
      </c>
      <c r="H500">
        <v>429</v>
      </c>
      <c r="I500" s="12">
        <v>6266205.007283981</v>
      </c>
    </row>
    <row r="501" spans="1:9" ht="15.6" x14ac:dyDescent="0.3">
      <c r="A501">
        <v>430</v>
      </c>
      <c r="B501" s="12">
        <v>3342201.676728053</v>
      </c>
      <c r="H501">
        <v>430</v>
      </c>
      <c r="I501" s="12">
        <v>6203344.3233141359</v>
      </c>
    </row>
    <row r="502" spans="1:9" ht="15.6" x14ac:dyDescent="0.3">
      <c r="A502">
        <v>431</v>
      </c>
      <c r="B502" s="12">
        <v>3446403.9431212735</v>
      </c>
      <c r="H502">
        <v>431</v>
      </c>
      <c r="I502" s="12">
        <v>6077907.0367651451</v>
      </c>
    </row>
    <row r="503" spans="1:9" ht="15.6" x14ac:dyDescent="0.3">
      <c r="A503">
        <v>432</v>
      </c>
      <c r="B503" s="12">
        <v>3413793.4751574579</v>
      </c>
      <c r="H503">
        <v>432</v>
      </c>
      <c r="I503" s="12">
        <v>5955733.4512519715</v>
      </c>
    </row>
    <row r="504" spans="1:9" ht="15.6" x14ac:dyDescent="0.3">
      <c r="A504">
        <v>433</v>
      </c>
      <c r="B504" s="12">
        <v>3523877.1783814696</v>
      </c>
      <c r="H504">
        <v>433</v>
      </c>
      <c r="I504" s="12">
        <v>5907797.6985120149</v>
      </c>
    </row>
    <row r="505" spans="1:9" ht="15.6" x14ac:dyDescent="0.3">
      <c r="A505">
        <v>434</v>
      </c>
      <c r="B505" s="12">
        <v>3488412.0316634071</v>
      </c>
      <c r="H505">
        <v>434</v>
      </c>
      <c r="I505" s="12">
        <v>6381530.2683107574</v>
      </c>
    </row>
    <row r="506" spans="1:9" ht="15.6" x14ac:dyDescent="0.3">
      <c r="A506">
        <v>435</v>
      </c>
      <c r="B506" s="12">
        <v>3354966.4745725603</v>
      </c>
      <c r="H506">
        <v>435</v>
      </c>
      <c r="I506" s="12">
        <v>5675125.9296542676</v>
      </c>
    </row>
    <row r="507" spans="1:9" ht="15.6" x14ac:dyDescent="0.3">
      <c r="A507">
        <v>436</v>
      </c>
      <c r="B507" s="12">
        <v>3437603.0813704496</v>
      </c>
      <c r="H507">
        <v>436</v>
      </c>
      <c r="I507" s="12">
        <v>5940525.727271135</v>
      </c>
    </row>
    <row r="508" spans="1:9" ht="15.6" x14ac:dyDescent="0.3">
      <c r="A508">
        <v>437</v>
      </c>
      <c r="B508" s="12">
        <v>3314374.03715176</v>
      </c>
      <c r="H508">
        <v>437</v>
      </c>
      <c r="I508" s="12">
        <v>6241265.0210459353</v>
      </c>
    </row>
    <row r="509" spans="1:9" ht="15.6" x14ac:dyDescent="0.3">
      <c r="A509">
        <v>438</v>
      </c>
      <c r="B509" s="12">
        <v>3332440.213800889</v>
      </c>
      <c r="H509">
        <v>438</v>
      </c>
      <c r="I509" s="12">
        <v>6338965.2528955573</v>
      </c>
    </row>
    <row r="510" spans="1:9" ht="15.6" x14ac:dyDescent="0.3">
      <c r="A510">
        <v>439</v>
      </c>
      <c r="B510" s="12">
        <v>3460996.700834258</v>
      </c>
      <c r="H510">
        <v>439</v>
      </c>
      <c r="I510" s="12">
        <v>6131947.5514554409</v>
      </c>
    </row>
    <row r="511" spans="1:9" ht="15.6" x14ac:dyDescent="0.3">
      <c r="A511">
        <v>440</v>
      </c>
      <c r="B511" s="12">
        <v>3487788.3274870068</v>
      </c>
      <c r="H511">
        <v>440</v>
      </c>
      <c r="I511" s="12">
        <v>6021768.9171073306</v>
      </c>
    </row>
    <row r="512" spans="1:9" ht="15.6" x14ac:dyDescent="0.3">
      <c r="A512">
        <v>441</v>
      </c>
      <c r="B512" s="12">
        <v>3457028.3805328649</v>
      </c>
      <c r="H512">
        <v>441</v>
      </c>
      <c r="I512" s="12">
        <v>6269835.117001215</v>
      </c>
    </row>
    <row r="513" spans="1:9" ht="15.6" x14ac:dyDescent="0.3">
      <c r="A513">
        <v>442</v>
      </c>
      <c r="B513" s="12">
        <v>3385715.1039908179</v>
      </c>
      <c r="H513">
        <v>442</v>
      </c>
      <c r="I513" s="12">
        <v>5934397.7189222751</v>
      </c>
    </row>
    <row r="514" spans="1:9" ht="15.6" x14ac:dyDescent="0.3">
      <c r="A514">
        <v>443</v>
      </c>
      <c r="B514" s="12">
        <v>3554532.5827779137</v>
      </c>
      <c r="H514">
        <v>443</v>
      </c>
      <c r="I514" s="12">
        <v>5973249.2139820326</v>
      </c>
    </row>
    <row r="515" spans="1:9" ht="15.6" x14ac:dyDescent="0.3">
      <c r="A515">
        <v>444</v>
      </c>
      <c r="B515" s="12">
        <v>3410741.4513024664</v>
      </c>
      <c r="H515">
        <v>444</v>
      </c>
      <c r="I515" s="12">
        <v>5807670.1408012696</v>
      </c>
    </row>
    <row r="516" spans="1:9" ht="15.6" x14ac:dyDescent="0.3">
      <c r="A516">
        <v>445</v>
      </c>
      <c r="B516" s="12">
        <v>3220969.6302779671</v>
      </c>
      <c r="H516">
        <v>445</v>
      </c>
      <c r="I516" s="12">
        <v>6450596.0482589155</v>
      </c>
    </row>
    <row r="517" spans="1:9" ht="15.6" x14ac:dyDescent="0.3">
      <c r="A517">
        <v>446</v>
      </c>
      <c r="B517" s="12">
        <v>3675480.1675530775</v>
      </c>
      <c r="H517">
        <v>446</v>
      </c>
      <c r="I517" s="12">
        <v>6160898.4741558013</v>
      </c>
    </row>
    <row r="518" spans="1:9" ht="15.6" x14ac:dyDescent="0.3">
      <c r="A518">
        <v>447</v>
      </c>
      <c r="B518" s="12">
        <v>3409252.7409415958</v>
      </c>
      <c r="H518">
        <v>447</v>
      </c>
      <c r="I518" s="12">
        <v>6426756.1670585377</v>
      </c>
    </row>
    <row r="519" spans="1:9" ht="15.6" x14ac:dyDescent="0.3">
      <c r="A519">
        <v>448</v>
      </c>
      <c r="B519" s="12">
        <v>3480410.6509838142</v>
      </c>
      <c r="H519">
        <v>448</v>
      </c>
      <c r="I519" s="12">
        <v>6545172.1425688779</v>
      </c>
    </row>
    <row r="520" spans="1:9" ht="15.6" x14ac:dyDescent="0.3">
      <c r="A520">
        <v>449</v>
      </c>
      <c r="B520" s="12">
        <v>3619913.4229175136</v>
      </c>
      <c r="H520">
        <v>449</v>
      </c>
      <c r="I520" s="12">
        <v>6498005.948907732</v>
      </c>
    </row>
    <row r="521" spans="1:9" ht="15.6" x14ac:dyDescent="0.3">
      <c r="A521">
        <v>450</v>
      </c>
      <c r="B521" s="12">
        <v>3415857.2554232031</v>
      </c>
      <c r="H521">
        <v>450</v>
      </c>
      <c r="I521" s="12">
        <v>6471341.2110575559</v>
      </c>
    </row>
    <row r="522" spans="1:9" ht="15.6" x14ac:dyDescent="0.3">
      <c r="A522">
        <v>451</v>
      </c>
      <c r="B522" s="12">
        <v>3315986.3076602584</v>
      </c>
      <c r="H522">
        <v>451</v>
      </c>
      <c r="I522" s="12">
        <v>5948511.1081178924</v>
      </c>
    </row>
    <row r="523" spans="1:9" ht="15.6" x14ac:dyDescent="0.3">
      <c r="A523">
        <v>452</v>
      </c>
      <c r="B523" s="12">
        <v>3359156.1385413534</v>
      </c>
      <c r="H523">
        <v>452</v>
      </c>
      <c r="I523" s="12">
        <v>6424121.1550835995</v>
      </c>
    </row>
    <row r="524" spans="1:9" ht="15.6" x14ac:dyDescent="0.3">
      <c r="A524">
        <v>453</v>
      </c>
      <c r="B524" s="12">
        <v>3334173.6763481786</v>
      </c>
      <c r="H524">
        <v>453</v>
      </c>
      <c r="I524" s="12">
        <v>6278239.6515535749</v>
      </c>
    </row>
    <row r="525" spans="1:9" ht="15.6" x14ac:dyDescent="0.3">
      <c r="A525">
        <v>454</v>
      </c>
      <c r="B525" s="12">
        <v>3657301.8641859964</v>
      </c>
      <c r="H525">
        <v>454</v>
      </c>
      <c r="I525" s="12">
        <v>6511521.6327028228</v>
      </c>
    </row>
    <row r="526" spans="1:9" ht="15.6" x14ac:dyDescent="0.3">
      <c r="A526">
        <v>455</v>
      </c>
      <c r="B526" s="12">
        <v>3428599.5341155967</v>
      </c>
      <c r="H526">
        <v>455</v>
      </c>
      <c r="I526" s="12">
        <v>6510752.9169407804</v>
      </c>
    </row>
    <row r="527" spans="1:9" ht="15.6" x14ac:dyDescent="0.3">
      <c r="A527">
        <v>456</v>
      </c>
      <c r="B527" s="12">
        <v>3640848.2793617314</v>
      </c>
      <c r="H527">
        <v>456</v>
      </c>
      <c r="I527" s="12">
        <v>6125020.4259360274</v>
      </c>
    </row>
    <row r="528" spans="1:9" ht="15.6" x14ac:dyDescent="0.3">
      <c r="A528">
        <v>457</v>
      </c>
      <c r="B528" s="12">
        <v>3408580.2042308715</v>
      </c>
      <c r="H528">
        <v>457</v>
      </c>
      <c r="I528" s="12">
        <v>6655393.0416131876</v>
      </c>
    </row>
    <row r="529" spans="1:9" ht="15.6" x14ac:dyDescent="0.3">
      <c r="A529">
        <v>458</v>
      </c>
      <c r="B529" s="12">
        <v>3341634.3695094823</v>
      </c>
      <c r="H529">
        <v>458</v>
      </c>
      <c r="I529" s="12">
        <v>6370874.8048057593</v>
      </c>
    </row>
    <row r="530" spans="1:9" ht="15.6" x14ac:dyDescent="0.3">
      <c r="A530">
        <v>459</v>
      </c>
      <c r="B530" s="12">
        <v>3348889.7946675504</v>
      </c>
      <c r="H530">
        <v>459</v>
      </c>
      <c r="I530" s="12">
        <v>6258092.6231111204</v>
      </c>
    </row>
    <row r="531" spans="1:9" ht="15.6" x14ac:dyDescent="0.3">
      <c r="A531">
        <v>460</v>
      </c>
      <c r="B531" s="12">
        <v>3407492.8712797738</v>
      </c>
      <c r="H531">
        <v>460</v>
      </c>
      <c r="I531" s="12">
        <v>6024208.2386729522</v>
      </c>
    </row>
    <row r="532" spans="1:9" ht="15.6" x14ac:dyDescent="0.3">
      <c r="A532">
        <v>461</v>
      </c>
      <c r="B532" s="12">
        <v>3486583.1054619048</v>
      </c>
      <c r="H532">
        <v>461</v>
      </c>
      <c r="I532" s="12">
        <v>5660056.1170446947</v>
      </c>
    </row>
    <row r="533" spans="1:9" ht="15.6" x14ac:dyDescent="0.3">
      <c r="A533">
        <v>462</v>
      </c>
      <c r="B533" s="12">
        <v>3279544.2452003118</v>
      </c>
      <c r="H533">
        <v>462</v>
      </c>
      <c r="I533" s="12">
        <v>6066767.145516701</v>
      </c>
    </row>
    <row r="534" spans="1:9" ht="15.6" x14ac:dyDescent="0.3">
      <c r="A534">
        <v>463</v>
      </c>
      <c r="B534" s="12">
        <v>3339033.3598750625</v>
      </c>
      <c r="H534">
        <v>463</v>
      </c>
      <c r="I534" s="12">
        <v>6424599.4674467379</v>
      </c>
    </row>
    <row r="535" spans="1:9" ht="15.6" x14ac:dyDescent="0.3">
      <c r="A535">
        <v>464</v>
      </c>
      <c r="B535" s="12">
        <v>3494122.2324896534</v>
      </c>
      <c r="H535">
        <v>464</v>
      </c>
      <c r="I535" s="12">
        <v>6355102.2870954163</v>
      </c>
    </row>
    <row r="536" spans="1:9" ht="15.6" x14ac:dyDescent="0.3">
      <c r="A536">
        <v>465</v>
      </c>
      <c r="B536" s="12">
        <v>3443524.4540904486</v>
      </c>
      <c r="H536">
        <v>465</v>
      </c>
      <c r="I536" s="12">
        <v>6275949.4718083637</v>
      </c>
    </row>
    <row r="537" spans="1:9" ht="15.6" x14ac:dyDescent="0.3">
      <c r="A537">
        <v>466</v>
      </c>
      <c r="B537" s="12">
        <v>3488895.0949143022</v>
      </c>
      <c r="H537">
        <v>466</v>
      </c>
      <c r="I537" s="12">
        <v>6581463.162479545</v>
      </c>
    </row>
    <row r="538" spans="1:9" ht="15.6" x14ac:dyDescent="0.3">
      <c r="A538">
        <v>467</v>
      </c>
      <c r="B538" s="12">
        <v>3464140.0473474446</v>
      </c>
      <c r="H538">
        <v>467</v>
      </c>
      <c r="I538" s="12">
        <v>5840349.9028917607</v>
      </c>
    </row>
    <row r="539" spans="1:9" ht="15.6" x14ac:dyDescent="0.3">
      <c r="A539">
        <v>468</v>
      </c>
      <c r="B539" s="12">
        <v>3406773.102715834</v>
      </c>
      <c r="H539">
        <v>468</v>
      </c>
      <c r="I539" s="12">
        <v>6017804.358586398</v>
      </c>
    </row>
    <row r="540" spans="1:9" ht="15.6" x14ac:dyDescent="0.3">
      <c r="A540">
        <v>469</v>
      </c>
      <c r="B540" s="12">
        <v>3688649.0828289627</v>
      </c>
      <c r="H540">
        <v>469</v>
      </c>
      <c r="I540" s="12">
        <v>6066926.4560641916</v>
      </c>
    </row>
    <row r="541" spans="1:9" ht="15.6" x14ac:dyDescent="0.3">
      <c r="A541">
        <v>470</v>
      </c>
      <c r="B541" s="12">
        <v>3140983.6954931747</v>
      </c>
      <c r="H541">
        <v>470</v>
      </c>
      <c r="I541" s="12">
        <v>6124312.394726634</v>
      </c>
    </row>
    <row r="542" spans="1:9" ht="15.6" x14ac:dyDescent="0.3">
      <c r="A542">
        <v>471</v>
      </c>
      <c r="B542" s="12">
        <v>3504860.2764879502</v>
      </c>
      <c r="H542">
        <v>471</v>
      </c>
      <c r="I542" s="12">
        <v>6468053.1822840637</v>
      </c>
    </row>
    <row r="543" spans="1:9" ht="15.6" x14ac:dyDescent="0.3">
      <c r="A543">
        <v>472</v>
      </c>
      <c r="B543" s="12">
        <v>3229674.8926692046</v>
      </c>
      <c r="H543">
        <v>472</v>
      </c>
      <c r="I543" s="12">
        <v>6234089.2804461457</v>
      </c>
    </row>
    <row r="544" spans="1:9" ht="15.6" x14ac:dyDescent="0.3">
      <c r="A544">
        <v>473</v>
      </c>
      <c r="B544" s="12">
        <v>3306367.4163348768</v>
      </c>
      <c r="H544">
        <v>473</v>
      </c>
      <c r="I544" s="12">
        <v>6106269.1062991275</v>
      </c>
    </row>
    <row r="545" spans="1:9" ht="15.6" x14ac:dyDescent="0.3">
      <c r="A545">
        <v>474</v>
      </c>
      <c r="B545" s="12">
        <v>3220527.1012772433</v>
      </c>
      <c r="H545">
        <v>474</v>
      </c>
      <c r="I545" s="12">
        <v>5797113.9948402857</v>
      </c>
    </row>
    <row r="546" spans="1:9" ht="15.6" x14ac:dyDescent="0.3">
      <c r="A546">
        <v>475</v>
      </c>
      <c r="B546" s="12">
        <v>3493523.5786499623</v>
      </c>
      <c r="H546">
        <v>475</v>
      </c>
      <c r="I546" s="12">
        <v>6225270.5589019908</v>
      </c>
    </row>
    <row r="547" spans="1:9" ht="15.6" x14ac:dyDescent="0.3">
      <c r="A547">
        <v>476</v>
      </c>
      <c r="B547" s="12">
        <v>3419721.6526593552</v>
      </c>
      <c r="H547">
        <v>476</v>
      </c>
      <c r="I547" s="12">
        <v>5843094.4426573208</v>
      </c>
    </row>
    <row r="548" spans="1:9" ht="15.6" x14ac:dyDescent="0.3">
      <c r="A548">
        <v>477</v>
      </c>
      <c r="B548" s="12">
        <v>3650827.9157287618</v>
      </c>
      <c r="H548">
        <v>477</v>
      </c>
      <c r="I548" s="12">
        <v>6445461.5271271514</v>
      </c>
    </row>
    <row r="549" spans="1:9" ht="15.6" x14ac:dyDescent="0.3">
      <c r="A549">
        <v>478</v>
      </c>
      <c r="B549" s="12">
        <v>3773694.7505748393</v>
      </c>
      <c r="H549">
        <v>478</v>
      </c>
      <c r="I549" s="12">
        <v>6170361.6303594001</v>
      </c>
    </row>
    <row r="550" spans="1:9" ht="15.6" x14ac:dyDescent="0.3">
      <c r="A550">
        <v>479</v>
      </c>
      <c r="B550" s="12">
        <v>3571944.9381210003</v>
      </c>
      <c r="H550">
        <v>479</v>
      </c>
      <c r="I550" s="12">
        <v>6062218.9346757522</v>
      </c>
    </row>
    <row r="551" spans="1:9" ht="15.6" x14ac:dyDescent="0.3">
      <c r="A551">
        <v>480</v>
      </c>
      <c r="B551" s="12">
        <v>3613160.695471636</v>
      </c>
      <c r="H551">
        <v>480</v>
      </c>
      <c r="I551" s="12">
        <v>5695060.6459095571</v>
      </c>
    </row>
    <row r="552" spans="1:9" ht="15.6" x14ac:dyDescent="0.3">
      <c r="A552">
        <v>481</v>
      </c>
      <c r="B552" s="12">
        <v>3469768.4381604423</v>
      </c>
      <c r="H552">
        <v>481</v>
      </c>
      <c r="I552" s="12">
        <v>5761286.3556722598</v>
      </c>
    </row>
    <row r="553" spans="1:9" ht="15.6" x14ac:dyDescent="0.3">
      <c r="A553">
        <v>482</v>
      </c>
      <c r="B553" s="12">
        <v>3468473.2659729915</v>
      </c>
      <c r="H553">
        <v>482</v>
      </c>
      <c r="I553" s="12">
        <v>5934622.1847240627</v>
      </c>
    </row>
    <row r="554" spans="1:9" ht="15.6" x14ac:dyDescent="0.3">
      <c r="A554">
        <v>483</v>
      </c>
      <c r="B554" s="12">
        <v>3441317.8546748688</v>
      </c>
      <c r="H554">
        <v>483</v>
      </c>
      <c r="I554" s="12">
        <v>6280808.4438749999</v>
      </c>
    </row>
    <row r="555" spans="1:9" ht="15.6" x14ac:dyDescent="0.3">
      <c r="A555">
        <v>484</v>
      </c>
      <c r="B555" s="12">
        <v>3495383.9999262118</v>
      </c>
      <c r="H555">
        <v>484</v>
      </c>
      <c r="I555" s="12">
        <v>6154663.412506599</v>
      </c>
    </row>
    <row r="556" spans="1:9" ht="15.6" x14ac:dyDescent="0.3">
      <c r="A556">
        <v>485</v>
      </c>
      <c r="B556" s="12">
        <v>3548066.6560749239</v>
      </c>
      <c r="H556">
        <v>485</v>
      </c>
      <c r="I556" s="12">
        <v>6294701.2190406406</v>
      </c>
    </row>
    <row r="557" spans="1:9" ht="15.6" x14ac:dyDescent="0.3">
      <c r="A557">
        <v>486</v>
      </c>
      <c r="B557" s="12">
        <v>3493525.8863053578</v>
      </c>
      <c r="H557">
        <v>486</v>
      </c>
      <c r="I557" s="12">
        <v>5914442.4020032659</v>
      </c>
    </row>
    <row r="558" spans="1:9" ht="15.6" x14ac:dyDescent="0.3">
      <c r="A558">
        <v>487</v>
      </c>
      <c r="B558" s="12">
        <v>3449571.1270860792</v>
      </c>
      <c r="H558">
        <v>487</v>
      </c>
      <c r="I558" s="12">
        <v>6192154.7381264213</v>
      </c>
    </row>
    <row r="559" spans="1:9" ht="15.6" x14ac:dyDescent="0.3">
      <c r="A559">
        <v>488</v>
      </c>
      <c r="B559" s="12">
        <v>3523597.9217259884</v>
      </c>
      <c r="H559">
        <v>488</v>
      </c>
      <c r="I559" s="12">
        <v>6064891.241180487</v>
      </c>
    </row>
    <row r="560" spans="1:9" ht="15.6" x14ac:dyDescent="0.3">
      <c r="A560">
        <v>489</v>
      </c>
      <c r="B560" s="12">
        <v>3142570.525975808</v>
      </c>
      <c r="H560">
        <v>489</v>
      </c>
      <c r="I560" s="12">
        <v>5907312.4887979608</v>
      </c>
    </row>
    <row r="561" spans="1:9" ht="15.6" x14ac:dyDescent="0.3">
      <c r="A561">
        <v>490</v>
      </c>
      <c r="B561" s="12">
        <v>3559885.9595813351</v>
      </c>
      <c r="H561">
        <v>490</v>
      </c>
      <c r="I561" s="12">
        <v>6259339.9803738557</v>
      </c>
    </row>
    <row r="562" spans="1:9" ht="15.6" x14ac:dyDescent="0.3">
      <c r="A562">
        <v>491</v>
      </c>
      <c r="B562" s="12">
        <v>3413719.8260449166</v>
      </c>
      <c r="H562">
        <v>491</v>
      </c>
      <c r="I562" s="12">
        <v>6503613.3831566572</v>
      </c>
    </row>
    <row r="563" spans="1:9" ht="15.6" x14ac:dyDescent="0.3">
      <c r="A563">
        <v>492</v>
      </c>
      <c r="B563" s="12">
        <v>3262062.9564975235</v>
      </c>
      <c r="H563">
        <v>492</v>
      </c>
      <c r="I563" s="12">
        <v>6325228.0503219748</v>
      </c>
    </row>
    <row r="564" spans="1:9" ht="15.6" x14ac:dyDescent="0.3">
      <c r="A564">
        <v>493</v>
      </c>
      <c r="B564" s="12">
        <v>3455963.8329912079</v>
      </c>
      <c r="H564">
        <v>493</v>
      </c>
      <c r="I564" s="12">
        <v>6433858.3916885704</v>
      </c>
    </row>
    <row r="565" spans="1:9" ht="15.6" x14ac:dyDescent="0.3">
      <c r="A565">
        <v>494</v>
      </c>
      <c r="B565" s="12">
        <v>3510340.3525132327</v>
      </c>
      <c r="H565">
        <v>494</v>
      </c>
      <c r="I565" s="12">
        <v>6161254.4484334923</v>
      </c>
    </row>
    <row r="566" spans="1:9" ht="15.6" x14ac:dyDescent="0.3">
      <c r="A566">
        <v>495</v>
      </c>
      <c r="B566" s="12">
        <v>3288584.2935951105</v>
      </c>
      <c r="H566">
        <v>495</v>
      </c>
      <c r="I566" s="12">
        <v>6163547.4824252548</v>
      </c>
    </row>
    <row r="567" spans="1:9" ht="15.6" x14ac:dyDescent="0.3">
      <c r="A567">
        <v>496</v>
      </c>
      <c r="B567" s="12">
        <v>3392419.8688152814</v>
      </c>
      <c r="H567">
        <v>496</v>
      </c>
      <c r="I567" s="12">
        <v>6165715.7550828438</v>
      </c>
    </row>
    <row r="568" spans="1:9" ht="15.6" x14ac:dyDescent="0.3">
      <c r="A568">
        <v>497</v>
      </c>
      <c r="B568" s="12">
        <v>3446937.9637965411</v>
      </c>
      <c r="H568">
        <v>497</v>
      </c>
      <c r="I568" s="12">
        <v>5716789.3515068227</v>
      </c>
    </row>
    <row r="569" spans="1:9" ht="15.6" x14ac:dyDescent="0.3">
      <c r="A569">
        <v>498</v>
      </c>
      <c r="B569" s="12">
        <v>3559616.7357579167</v>
      </c>
      <c r="H569">
        <v>498</v>
      </c>
      <c r="I569" s="12">
        <v>5889447.7639029948</v>
      </c>
    </row>
    <row r="570" spans="1:9" ht="15.6" x14ac:dyDescent="0.3">
      <c r="A570">
        <v>499</v>
      </c>
      <c r="B570" s="12">
        <v>3798681.1503963983</v>
      </c>
      <c r="H570">
        <v>499</v>
      </c>
      <c r="I570" s="12">
        <v>5821487.9131603939</v>
      </c>
    </row>
    <row r="571" spans="1:9" ht="15.6" x14ac:dyDescent="0.3">
      <c r="A571">
        <v>500</v>
      </c>
      <c r="B571" s="12">
        <v>3448595.9051487241</v>
      </c>
      <c r="H571">
        <v>500</v>
      </c>
      <c r="I571" s="12">
        <v>6313451.9699985208</v>
      </c>
    </row>
    <row r="572" spans="1:9" ht="15.6" x14ac:dyDescent="0.3">
      <c r="A572">
        <v>501</v>
      </c>
      <c r="B572" s="12">
        <v>3488022.8982908642</v>
      </c>
      <c r="H572">
        <v>501</v>
      </c>
      <c r="I572" s="12">
        <v>5898903.9918167312</v>
      </c>
    </row>
    <row r="573" spans="1:9" ht="15.6" x14ac:dyDescent="0.3">
      <c r="A573">
        <v>502</v>
      </c>
      <c r="B573" s="12">
        <v>3495867.4027660964</v>
      </c>
      <c r="H573">
        <v>502</v>
      </c>
      <c r="I573" s="12">
        <v>6193766.0125244884</v>
      </c>
    </row>
    <row r="574" spans="1:9" ht="15.6" x14ac:dyDescent="0.3">
      <c r="A574">
        <v>503</v>
      </c>
      <c r="B574" s="12">
        <v>3316649.2008019164</v>
      </c>
      <c r="H574">
        <v>503</v>
      </c>
      <c r="I574" s="12">
        <v>6030456.8811814468</v>
      </c>
    </row>
    <row r="575" spans="1:9" ht="15.6" x14ac:dyDescent="0.3">
      <c r="A575">
        <v>504</v>
      </c>
      <c r="B575" s="12">
        <v>3409081.2452659602</v>
      </c>
      <c r="H575">
        <v>504</v>
      </c>
      <c r="I575" s="12">
        <v>6414593.2411634466</v>
      </c>
    </row>
    <row r="576" spans="1:9" ht="15.6" x14ac:dyDescent="0.3">
      <c r="A576">
        <v>505</v>
      </c>
      <c r="B576" s="12">
        <v>3609557.6123851184</v>
      </c>
      <c r="H576">
        <v>505</v>
      </c>
      <c r="I576" s="12">
        <v>5913619.2309823036</v>
      </c>
    </row>
    <row r="577" spans="1:9" ht="15.6" x14ac:dyDescent="0.3">
      <c r="A577">
        <v>506</v>
      </c>
      <c r="B577" s="12">
        <v>3409935.9286126657</v>
      </c>
      <c r="H577">
        <v>506</v>
      </c>
      <c r="I577" s="12">
        <v>6537633.1181125669</v>
      </c>
    </row>
    <row r="578" spans="1:9" ht="15.6" x14ac:dyDescent="0.3">
      <c r="A578">
        <v>507</v>
      </c>
      <c r="B578" s="12">
        <v>3427216.8278517276</v>
      </c>
      <c r="H578">
        <v>507</v>
      </c>
      <c r="I578" s="12">
        <v>6460099.1369950026</v>
      </c>
    </row>
    <row r="579" spans="1:9" ht="15.6" x14ac:dyDescent="0.3">
      <c r="A579">
        <v>508</v>
      </c>
      <c r="B579" s="12">
        <v>3406128.8747927654</v>
      </c>
      <c r="H579">
        <v>508</v>
      </c>
      <c r="I579" s="12">
        <v>6354180.9499057718</v>
      </c>
    </row>
    <row r="580" spans="1:9" ht="15.6" x14ac:dyDescent="0.3">
      <c r="A580">
        <v>509</v>
      </c>
      <c r="B580" s="12">
        <v>3444862.2274135277</v>
      </c>
      <c r="H580">
        <v>509</v>
      </c>
      <c r="I580" s="12">
        <v>6323348.4191697696</v>
      </c>
    </row>
    <row r="581" spans="1:9" ht="15.6" x14ac:dyDescent="0.3">
      <c r="A581">
        <v>510</v>
      </c>
      <c r="B581" s="12">
        <v>3316229.5857273438</v>
      </c>
      <c r="H581">
        <v>510</v>
      </c>
      <c r="I581" s="12">
        <v>6193184.67371294</v>
      </c>
    </row>
    <row r="582" spans="1:9" ht="15.6" x14ac:dyDescent="0.3">
      <c r="A582">
        <v>511</v>
      </c>
      <c r="B582" s="12">
        <v>3241343.3962178174</v>
      </c>
      <c r="H582">
        <v>511</v>
      </c>
      <c r="I582" s="12">
        <v>6263419.8629520945</v>
      </c>
    </row>
    <row r="583" spans="1:9" ht="15.6" x14ac:dyDescent="0.3">
      <c r="A583">
        <v>512</v>
      </c>
      <c r="B583" s="12">
        <v>3514969.8191435235</v>
      </c>
      <c r="H583">
        <v>512</v>
      </c>
      <c r="I583" s="12">
        <v>6096109.6375678526</v>
      </c>
    </row>
    <row r="584" spans="1:9" ht="15.6" x14ac:dyDescent="0.3">
      <c r="A584">
        <v>513</v>
      </c>
      <c r="B584" s="12">
        <v>3175179.0533811911</v>
      </c>
      <c r="H584">
        <v>513</v>
      </c>
      <c r="I584" s="12">
        <v>6095195.395189953</v>
      </c>
    </row>
    <row r="585" spans="1:9" ht="15.6" x14ac:dyDescent="0.3">
      <c r="A585">
        <v>514</v>
      </c>
      <c r="B585" s="12">
        <v>3395561.6204637173</v>
      </c>
      <c r="H585">
        <v>514</v>
      </c>
      <c r="I585" s="12">
        <v>6238525.8782731779</v>
      </c>
    </row>
    <row r="586" spans="1:9" ht="15.6" x14ac:dyDescent="0.3">
      <c r="A586">
        <v>515</v>
      </c>
      <c r="B586" s="12">
        <v>3720264.594967667</v>
      </c>
      <c r="H586">
        <v>515</v>
      </c>
      <c r="I586" s="12">
        <v>6160692.8088844391</v>
      </c>
    </row>
    <row r="587" spans="1:9" ht="15.6" x14ac:dyDescent="0.3">
      <c r="A587">
        <v>516</v>
      </c>
      <c r="B587" s="12">
        <v>3254477.4182753931</v>
      </c>
      <c r="H587">
        <v>516</v>
      </c>
      <c r="I587" s="12">
        <v>5988919.4875072399</v>
      </c>
    </row>
    <row r="588" spans="1:9" ht="15.6" x14ac:dyDescent="0.3">
      <c r="A588">
        <v>517</v>
      </c>
      <c r="B588" s="12">
        <v>3418542.1593546588</v>
      </c>
      <c r="H588">
        <v>517</v>
      </c>
      <c r="I588" s="12">
        <v>6095916.6344542205</v>
      </c>
    </row>
    <row r="589" spans="1:9" ht="15.6" x14ac:dyDescent="0.3">
      <c r="A589">
        <v>518</v>
      </c>
      <c r="B589" s="12">
        <v>3378022.8329233155</v>
      </c>
      <c r="H589">
        <v>518</v>
      </c>
      <c r="I589" s="12">
        <v>5849218.3030561684</v>
      </c>
    </row>
    <row r="590" spans="1:9" ht="15.6" x14ac:dyDescent="0.3">
      <c r="A590">
        <v>519</v>
      </c>
      <c r="B590" s="12">
        <v>3504571.2664077068</v>
      </c>
      <c r="H590">
        <v>519</v>
      </c>
      <c r="I590" s="12">
        <v>6308202.4564896738</v>
      </c>
    </row>
    <row r="591" spans="1:9" ht="15.6" x14ac:dyDescent="0.3">
      <c r="A591">
        <v>520</v>
      </c>
      <c r="B591" s="12">
        <v>3440496.3232211214</v>
      </c>
      <c r="H591">
        <v>520</v>
      </c>
      <c r="I591" s="12">
        <v>5992489.4109023912</v>
      </c>
    </row>
    <row r="592" spans="1:9" ht="15.6" x14ac:dyDescent="0.3">
      <c r="A592">
        <v>521</v>
      </c>
      <c r="B592" s="12">
        <v>3417116.9129400579</v>
      </c>
      <c r="H592">
        <v>521</v>
      </c>
      <c r="I592" s="12">
        <v>6156835.3685599025</v>
      </c>
    </row>
    <row r="593" spans="1:9" ht="15.6" x14ac:dyDescent="0.3">
      <c r="A593">
        <v>522</v>
      </c>
      <c r="B593" s="12">
        <v>3299271.297308235</v>
      </c>
      <c r="H593">
        <v>522</v>
      </c>
      <c r="I593" s="12">
        <v>6401519.5759463366</v>
      </c>
    </row>
    <row r="594" spans="1:9" ht="15.6" x14ac:dyDescent="0.3">
      <c r="A594">
        <v>523</v>
      </c>
      <c r="B594" s="12">
        <v>3341122.7155168252</v>
      </c>
      <c r="H594">
        <v>523</v>
      </c>
      <c r="I594" s="12">
        <v>6872278.6947107194</v>
      </c>
    </row>
    <row r="595" spans="1:9" ht="15.6" x14ac:dyDescent="0.3">
      <c r="A595">
        <v>524</v>
      </c>
      <c r="B595" s="12">
        <v>3166137.294188852</v>
      </c>
      <c r="H595">
        <v>524</v>
      </c>
      <c r="I595" s="12">
        <v>6073999.5904665459</v>
      </c>
    </row>
    <row r="596" spans="1:9" ht="15.6" x14ac:dyDescent="0.3">
      <c r="A596">
        <v>525</v>
      </c>
      <c r="B596" s="12">
        <v>3591353.1258391617</v>
      </c>
      <c r="H596">
        <v>525</v>
      </c>
      <c r="I596" s="12">
        <v>6266715.2752758395</v>
      </c>
    </row>
    <row r="597" spans="1:9" ht="15.6" x14ac:dyDescent="0.3">
      <c r="A597">
        <v>526</v>
      </c>
      <c r="B597" s="12">
        <v>3123317.9469680614</v>
      </c>
      <c r="H597">
        <v>526</v>
      </c>
      <c r="I597" s="12">
        <v>6464486.7841684902</v>
      </c>
    </row>
    <row r="598" spans="1:9" ht="15.6" x14ac:dyDescent="0.3">
      <c r="A598">
        <v>527</v>
      </c>
      <c r="B598" s="12">
        <v>3416605.3790094191</v>
      </c>
      <c r="H598">
        <v>527</v>
      </c>
      <c r="I598" s="12">
        <v>6346226.6781074777</v>
      </c>
    </row>
    <row r="599" spans="1:9" ht="15.6" x14ac:dyDescent="0.3">
      <c r="A599">
        <v>528</v>
      </c>
      <c r="B599" s="12">
        <v>3185249.5324866218</v>
      </c>
      <c r="H599">
        <v>528</v>
      </c>
      <c r="I599" s="12">
        <v>6371034.3589501251</v>
      </c>
    </row>
    <row r="600" spans="1:9" ht="15.6" x14ac:dyDescent="0.3">
      <c r="A600">
        <v>529</v>
      </c>
      <c r="B600" s="12">
        <v>3362650.0584060992</v>
      </c>
      <c r="H600">
        <v>529</v>
      </c>
      <c r="I600" s="12">
        <v>6156852.9087894652</v>
      </c>
    </row>
    <row r="601" spans="1:9" ht="15.6" x14ac:dyDescent="0.3">
      <c r="A601">
        <v>530</v>
      </c>
      <c r="B601" s="12">
        <v>3806490.5880862661</v>
      </c>
      <c r="H601">
        <v>530</v>
      </c>
      <c r="I601" s="12">
        <v>5952454.9835439585</v>
      </c>
    </row>
    <row r="602" spans="1:9" ht="15.6" x14ac:dyDescent="0.3">
      <c r="A602">
        <v>531</v>
      </c>
      <c r="B602" s="12">
        <v>3364497.6007927503</v>
      </c>
      <c r="H602">
        <v>531</v>
      </c>
      <c r="I602" s="12">
        <v>6494299.1190602463</v>
      </c>
    </row>
    <row r="603" spans="1:9" ht="15.6" x14ac:dyDescent="0.3">
      <c r="A603">
        <v>532</v>
      </c>
      <c r="B603" s="12">
        <v>3798268.7995352815</v>
      </c>
      <c r="H603">
        <v>532</v>
      </c>
      <c r="I603" s="12">
        <v>6036103.6212134091</v>
      </c>
    </row>
    <row r="604" spans="1:9" ht="15.6" x14ac:dyDescent="0.3">
      <c r="A604">
        <v>533</v>
      </c>
      <c r="B604" s="12">
        <v>3650837.4877876071</v>
      </c>
      <c r="H604">
        <v>533</v>
      </c>
      <c r="I604" s="12">
        <v>6423964.0378190614</v>
      </c>
    </row>
    <row r="605" spans="1:9" ht="15.6" x14ac:dyDescent="0.3">
      <c r="A605">
        <v>534</v>
      </c>
      <c r="B605" s="12">
        <v>3511820.1368175354</v>
      </c>
      <c r="H605">
        <v>534</v>
      </c>
      <c r="I605" s="12">
        <v>6021861.670011973</v>
      </c>
    </row>
    <row r="606" spans="1:9" ht="15.6" x14ac:dyDescent="0.3">
      <c r="A606">
        <v>535</v>
      </c>
      <c r="B606" s="12">
        <v>3291662.7962052086</v>
      </c>
      <c r="H606">
        <v>535</v>
      </c>
      <c r="I606" s="12">
        <v>6332805.7130904831</v>
      </c>
    </row>
    <row r="607" spans="1:9" ht="15.6" x14ac:dyDescent="0.3">
      <c r="A607">
        <v>536</v>
      </c>
      <c r="B607" s="12">
        <v>3433440.9675292717</v>
      </c>
      <c r="H607">
        <v>536</v>
      </c>
      <c r="I607" s="12">
        <v>5830542.941366123</v>
      </c>
    </row>
    <row r="608" spans="1:9" ht="15.6" x14ac:dyDescent="0.3">
      <c r="A608">
        <v>537</v>
      </c>
      <c r="B608" s="12">
        <v>3721812.5259875348</v>
      </c>
      <c r="H608">
        <v>537</v>
      </c>
      <c r="I608" s="12">
        <v>5982829.7828521561</v>
      </c>
    </row>
    <row r="609" spans="1:9" ht="15.6" x14ac:dyDescent="0.3">
      <c r="A609">
        <v>538</v>
      </c>
      <c r="B609" s="12">
        <v>3162495.9246133082</v>
      </c>
      <c r="H609">
        <v>538</v>
      </c>
      <c r="I609" s="12">
        <v>6415087.2189684696</v>
      </c>
    </row>
    <row r="610" spans="1:9" ht="15.6" x14ac:dyDescent="0.3">
      <c r="A610">
        <v>539</v>
      </c>
      <c r="B610" s="12">
        <v>3184469.4625425683</v>
      </c>
      <c r="H610">
        <v>539</v>
      </c>
      <c r="I610" s="12">
        <v>6459944.5047347452</v>
      </c>
    </row>
    <row r="611" spans="1:9" ht="15.6" x14ac:dyDescent="0.3">
      <c r="A611">
        <v>540</v>
      </c>
      <c r="B611" s="12">
        <v>3481242.9455644926</v>
      </c>
      <c r="H611">
        <v>540</v>
      </c>
      <c r="I611" s="12">
        <v>6607973.2254643301</v>
      </c>
    </row>
    <row r="612" spans="1:9" ht="15.6" x14ac:dyDescent="0.3">
      <c r="A612">
        <v>541</v>
      </c>
      <c r="B612" s="12">
        <v>3172797.290707896</v>
      </c>
      <c r="H612">
        <v>541</v>
      </c>
      <c r="I612" s="12">
        <v>6024475.9116903357</v>
      </c>
    </row>
    <row r="613" spans="1:9" ht="15.6" x14ac:dyDescent="0.3">
      <c r="A613">
        <v>542</v>
      </c>
      <c r="B613" s="12">
        <v>3566457.4369588085</v>
      </c>
      <c r="H613">
        <v>542</v>
      </c>
      <c r="I613" s="12">
        <v>6066783.7199474331</v>
      </c>
    </row>
    <row r="614" spans="1:9" ht="15.6" x14ac:dyDescent="0.3">
      <c r="A614">
        <v>543</v>
      </c>
      <c r="B614" s="12">
        <v>3484518.4760622019</v>
      </c>
      <c r="H614">
        <v>543</v>
      </c>
      <c r="I614" s="12">
        <v>6003899.2916427981</v>
      </c>
    </row>
    <row r="615" spans="1:9" ht="15.6" x14ac:dyDescent="0.3">
      <c r="A615">
        <v>544</v>
      </c>
      <c r="B615" s="12">
        <v>3574609.5572107104</v>
      </c>
      <c r="H615">
        <v>544</v>
      </c>
      <c r="I615" s="12">
        <v>5513226.6131178234</v>
      </c>
    </row>
    <row r="616" spans="1:9" ht="15.6" x14ac:dyDescent="0.3">
      <c r="A616">
        <v>545</v>
      </c>
      <c r="B616" s="12">
        <v>3600896.1159457839</v>
      </c>
      <c r="H616">
        <v>545</v>
      </c>
      <c r="I616" s="12">
        <v>5905538.4877533531</v>
      </c>
    </row>
    <row r="617" spans="1:9" ht="15.6" x14ac:dyDescent="0.3">
      <c r="A617">
        <v>546</v>
      </c>
      <c r="B617" s="12">
        <v>3678812.123818465</v>
      </c>
      <c r="H617">
        <v>546</v>
      </c>
      <c r="I617" s="12">
        <v>6504992.2798625203</v>
      </c>
    </row>
    <row r="618" spans="1:9" ht="15.6" x14ac:dyDescent="0.3">
      <c r="A618">
        <v>547</v>
      </c>
      <c r="B618" s="12">
        <v>3206023.2600359111</v>
      </c>
      <c r="H618">
        <v>547</v>
      </c>
      <c r="I618" s="12">
        <v>6315353.671618145</v>
      </c>
    </row>
    <row r="619" spans="1:9" ht="15.6" x14ac:dyDescent="0.3">
      <c r="A619">
        <v>548</v>
      </c>
      <c r="B619" s="12">
        <v>3382721.7472142256</v>
      </c>
      <c r="H619">
        <v>548</v>
      </c>
      <c r="I619" s="12">
        <v>6431386.5316068921</v>
      </c>
    </row>
    <row r="620" spans="1:9" ht="15.6" x14ac:dyDescent="0.3">
      <c r="A620">
        <v>549</v>
      </c>
      <c r="B620" s="12">
        <v>3509734.8131312169</v>
      </c>
      <c r="H620">
        <v>549</v>
      </c>
      <c r="I620" s="12">
        <v>6070491.9822790753</v>
      </c>
    </row>
    <row r="621" spans="1:9" ht="15.6" x14ac:dyDescent="0.3">
      <c r="A621">
        <v>550</v>
      </c>
      <c r="B621" s="12">
        <v>3667781.8047941392</v>
      </c>
      <c r="H621">
        <v>550</v>
      </c>
      <c r="I621" s="12">
        <v>6135206.3025958873</v>
      </c>
    </row>
    <row r="622" spans="1:9" ht="15.6" x14ac:dyDescent="0.3">
      <c r="A622">
        <v>551</v>
      </c>
      <c r="B622" s="12">
        <v>3351788.5475171288</v>
      </c>
      <c r="H622">
        <v>551</v>
      </c>
      <c r="I622" s="12">
        <v>6432548.1273118462</v>
      </c>
    </row>
    <row r="623" spans="1:9" ht="15.6" x14ac:dyDescent="0.3">
      <c r="A623">
        <v>552</v>
      </c>
      <c r="B623" s="12">
        <v>3138637.6621242166</v>
      </c>
      <c r="H623">
        <v>552</v>
      </c>
      <c r="I623" s="12">
        <v>6090537.668960887</v>
      </c>
    </row>
    <row r="624" spans="1:9" ht="15.6" x14ac:dyDescent="0.3">
      <c r="A624">
        <v>553</v>
      </c>
      <c r="B624" s="12">
        <v>3465171.4220788586</v>
      </c>
      <c r="H624">
        <v>553</v>
      </c>
      <c r="I624" s="12">
        <v>6229335.9632183267</v>
      </c>
    </row>
    <row r="625" spans="1:9" ht="15.6" x14ac:dyDescent="0.3">
      <c r="A625">
        <v>554</v>
      </c>
      <c r="B625" s="12">
        <v>3323212.6936500669</v>
      </c>
      <c r="H625">
        <v>554</v>
      </c>
      <c r="I625" s="12">
        <v>6594790.8816162972</v>
      </c>
    </row>
    <row r="626" spans="1:9" ht="15.6" x14ac:dyDescent="0.3">
      <c r="A626">
        <v>555</v>
      </c>
      <c r="B626" s="12">
        <v>3352685.5192332962</v>
      </c>
      <c r="H626">
        <v>555</v>
      </c>
      <c r="I626" s="12">
        <v>6434703.8240188509</v>
      </c>
    </row>
    <row r="627" spans="1:9" ht="15.6" x14ac:dyDescent="0.3">
      <c r="A627">
        <v>556</v>
      </c>
      <c r="B627" s="12">
        <v>3310868.9561633612</v>
      </c>
      <c r="H627">
        <v>556</v>
      </c>
      <c r="I627" s="12">
        <v>6377071.3528659046</v>
      </c>
    </row>
    <row r="628" spans="1:9" ht="15.6" x14ac:dyDescent="0.3">
      <c r="A628">
        <v>557</v>
      </c>
      <c r="B628" s="12">
        <v>3371075.1830168562</v>
      </c>
      <c r="H628">
        <v>557</v>
      </c>
      <c r="I628" s="12">
        <v>6485493.5234698718</v>
      </c>
    </row>
    <row r="629" spans="1:9" ht="15.6" x14ac:dyDescent="0.3">
      <c r="A629">
        <v>558</v>
      </c>
      <c r="B629" s="12">
        <v>3495800.9724448202</v>
      </c>
      <c r="H629">
        <v>558</v>
      </c>
      <c r="I629" s="12">
        <v>6361964.6260942128</v>
      </c>
    </row>
    <row r="630" spans="1:9" ht="15.6" x14ac:dyDescent="0.3">
      <c r="A630">
        <v>559</v>
      </c>
      <c r="B630" s="12">
        <v>3373395.8781821625</v>
      </c>
      <c r="H630">
        <v>559</v>
      </c>
      <c r="I630" s="12">
        <v>6332044.3218372157</v>
      </c>
    </row>
    <row r="631" spans="1:9" ht="15.6" x14ac:dyDescent="0.3">
      <c r="A631">
        <v>560</v>
      </c>
      <c r="B631" s="12">
        <v>3361440.9357912866</v>
      </c>
      <c r="H631">
        <v>560</v>
      </c>
      <c r="I631" s="12">
        <v>6458715.1504231142</v>
      </c>
    </row>
    <row r="632" spans="1:9" ht="15.6" x14ac:dyDescent="0.3">
      <c r="A632">
        <v>561</v>
      </c>
      <c r="B632" s="12">
        <v>3478623.6070586378</v>
      </c>
      <c r="H632">
        <v>561</v>
      </c>
      <c r="I632" s="12">
        <v>6548935.0040872851</v>
      </c>
    </row>
    <row r="633" spans="1:9" ht="15.6" x14ac:dyDescent="0.3">
      <c r="A633">
        <v>562</v>
      </c>
      <c r="B633" s="12">
        <v>3489914.2649545711</v>
      </c>
      <c r="H633">
        <v>562</v>
      </c>
      <c r="I633" s="12">
        <v>6021661.948438569</v>
      </c>
    </row>
    <row r="634" spans="1:9" ht="15.6" x14ac:dyDescent="0.3">
      <c r="A634">
        <v>563</v>
      </c>
      <c r="B634" s="12">
        <v>3353816.2521919054</v>
      </c>
      <c r="H634">
        <v>563</v>
      </c>
      <c r="I634" s="12">
        <v>6333497.3055304429</v>
      </c>
    </row>
    <row r="635" spans="1:9" ht="15.6" x14ac:dyDescent="0.3">
      <c r="A635">
        <v>564</v>
      </c>
      <c r="B635" s="12">
        <v>3490420.0748648797</v>
      </c>
      <c r="H635">
        <v>564</v>
      </c>
      <c r="I635" s="12">
        <v>6110447.4175103735</v>
      </c>
    </row>
    <row r="636" spans="1:9" ht="15.6" x14ac:dyDescent="0.3">
      <c r="A636">
        <v>565</v>
      </c>
      <c r="B636" s="12">
        <v>3442445.7331418255</v>
      </c>
      <c r="H636">
        <v>565</v>
      </c>
      <c r="I636" s="12">
        <v>6317420.5290872669</v>
      </c>
    </row>
    <row r="637" spans="1:9" ht="15.6" x14ac:dyDescent="0.3">
      <c r="A637">
        <v>566</v>
      </c>
      <c r="B637" s="12">
        <v>3719002.506223497</v>
      </c>
      <c r="H637">
        <v>566</v>
      </c>
      <c r="I637" s="12">
        <v>6037128.5206184955</v>
      </c>
    </row>
    <row r="638" spans="1:9" ht="15.6" x14ac:dyDescent="0.3">
      <c r="A638">
        <v>567</v>
      </c>
      <c r="B638" s="12">
        <v>3551919.8119061943</v>
      </c>
      <c r="H638">
        <v>567</v>
      </c>
      <c r="I638" s="12">
        <v>6559545.8342406601</v>
      </c>
    </row>
    <row r="639" spans="1:9" ht="15.6" x14ac:dyDescent="0.3">
      <c r="A639">
        <v>568</v>
      </c>
      <c r="B639" s="12">
        <v>3501136.6765238643</v>
      </c>
      <c r="H639">
        <v>568</v>
      </c>
      <c r="I639" s="12">
        <v>6040610.5729652885</v>
      </c>
    </row>
    <row r="640" spans="1:9" ht="15.6" x14ac:dyDescent="0.3">
      <c r="A640">
        <v>569</v>
      </c>
      <c r="B640" s="12">
        <v>3585878.9111961988</v>
      </c>
      <c r="H640">
        <v>569</v>
      </c>
      <c r="I640" s="12">
        <v>6128463.1609207923</v>
      </c>
    </row>
    <row r="641" spans="1:9" ht="15.6" x14ac:dyDescent="0.3">
      <c r="A641">
        <v>570</v>
      </c>
      <c r="B641" s="12">
        <v>3387424.0771136326</v>
      </c>
      <c r="H641">
        <v>570</v>
      </c>
      <c r="I641" s="12">
        <v>6053910.879051161</v>
      </c>
    </row>
    <row r="642" spans="1:9" ht="15.6" x14ac:dyDescent="0.3">
      <c r="A642">
        <v>571</v>
      </c>
      <c r="B642" s="12">
        <v>3470643.2442445806</v>
      </c>
      <c r="H642">
        <v>571</v>
      </c>
      <c r="I642" s="12">
        <v>6393038.3211599588</v>
      </c>
    </row>
    <row r="643" spans="1:9" ht="15.6" x14ac:dyDescent="0.3">
      <c r="A643">
        <v>572</v>
      </c>
      <c r="B643" s="12">
        <v>3329306.4594142218</v>
      </c>
      <c r="H643">
        <v>572</v>
      </c>
      <c r="I643" s="12">
        <v>6455773.6092317533</v>
      </c>
    </row>
    <row r="644" spans="1:9" ht="15.6" x14ac:dyDescent="0.3">
      <c r="A644">
        <v>573</v>
      </c>
      <c r="B644" s="12">
        <v>3370714.0488297939</v>
      </c>
      <c r="H644">
        <v>573</v>
      </c>
      <c r="I644" s="12">
        <v>6120336.9351017969</v>
      </c>
    </row>
    <row r="645" spans="1:9" ht="15.6" x14ac:dyDescent="0.3">
      <c r="A645">
        <v>574</v>
      </c>
      <c r="B645" s="12">
        <v>3116672.4186825873</v>
      </c>
      <c r="H645">
        <v>574</v>
      </c>
      <c r="I645" s="12">
        <v>6169871.0203199266</v>
      </c>
    </row>
    <row r="646" spans="1:9" ht="15.6" x14ac:dyDescent="0.3">
      <c r="A646">
        <v>575</v>
      </c>
      <c r="B646" s="12">
        <v>3383148.8019028334</v>
      </c>
      <c r="H646">
        <v>575</v>
      </c>
      <c r="I646" s="12">
        <v>6144117.9148138016</v>
      </c>
    </row>
    <row r="647" spans="1:9" ht="15.6" x14ac:dyDescent="0.3">
      <c r="A647">
        <v>576</v>
      </c>
      <c r="B647" s="12">
        <v>3347736.9224440511</v>
      </c>
      <c r="H647">
        <v>576</v>
      </c>
      <c r="I647" s="12">
        <v>6329332.1966491509</v>
      </c>
    </row>
    <row r="648" spans="1:9" ht="15.6" x14ac:dyDescent="0.3">
      <c r="A648">
        <v>577</v>
      </c>
      <c r="B648" s="12">
        <v>3544642.1832564068</v>
      </c>
      <c r="H648">
        <v>577</v>
      </c>
      <c r="I648" s="12">
        <v>5964553.7603209289</v>
      </c>
    </row>
    <row r="649" spans="1:9" ht="15.6" x14ac:dyDescent="0.3">
      <c r="A649">
        <v>578</v>
      </c>
      <c r="B649" s="12">
        <v>3475085.5586699028</v>
      </c>
      <c r="H649">
        <v>578</v>
      </c>
      <c r="I649" s="12">
        <v>6089354.7880925266</v>
      </c>
    </row>
    <row r="650" spans="1:9" ht="15.6" x14ac:dyDescent="0.3">
      <c r="A650">
        <v>579</v>
      </c>
      <c r="B650" s="12">
        <v>3309622.8575190967</v>
      </c>
      <c r="H650">
        <v>579</v>
      </c>
      <c r="I650" s="12">
        <v>6195783.8903689897</v>
      </c>
    </row>
    <row r="651" spans="1:9" ht="15.6" x14ac:dyDescent="0.3">
      <c r="A651">
        <v>580</v>
      </c>
      <c r="B651" s="12">
        <v>3429316.1051009316</v>
      </c>
      <c r="H651">
        <v>580</v>
      </c>
      <c r="I651" s="12">
        <v>5946457.5174841285</v>
      </c>
    </row>
    <row r="652" spans="1:9" ht="15.6" x14ac:dyDescent="0.3">
      <c r="A652">
        <v>581</v>
      </c>
      <c r="B652" s="12">
        <v>3269802.8666649219</v>
      </c>
      <c r="H652">
        <v>581</v>
      </c>
      <c r="I652" s="12">
        <v>6156001.6249582171</v>
      </c>
    </row>
    <row r="653" spans="1:9" ht="15.6" x14ac:dyDescent="0.3">
      <c r="A653">
        <v>582</v>
      </c>
      <c r="B653" s="12">
        <v>3569784.4188152743</v>
      </c>
      <c r="H653">
        <v>582</v>
      </c>
      <c r="I653" s="12">
        <v>6190833.9408424189</v>
      </c>
    </row>
    <row r="654" spans="1:9" ht="15.6" x14ac:dyDescent="0.3">
      <c r="A654">
        <v>583</v>
      </c>
      <c r="B654" s="12">
        <v>3639374.5498457067</v>
      </c>
      <c r="H654">
        <v>583</v>
      </c>
      <c r="I654" s="12">
        <v>5947683.708400256</v>
      </c>
    </row>
    <row r="655" spans="1:9" ht="15.6" x14ac:dyDescent="0.3">
      <c r="A655">
        <v>584</v>
      </c>
      <c r="B655" s="12">
        <v>3472879.1112644486</v>
      </c>
      <c r="H655">
        <v>584</v>
      </c>
      <c r="I655" s="12">
        <v>5758567.0641381014</v>
      </c>
    </row>
    <row r="656" spans="1:9" ht="15.6" x14ac:dyDescent="0.3">
      <c r="A656">
        <v>585</v>
      </c>
      <c r="B656" s="12">
        <v>3339813.4865116882</v>
      </c>
      <c r="H656">
        <v>585</v>
      </c>
      <c r="I656" s="12">
        <v>6113454.260014669</v>
      </c>
    </row>
    <row r="657" spans="1:9" ht="15.6" x14ac:dyDescent="0.3">
      <c r="A657">
        <v>586</v>
      </c>
      <c r="B657" s="12">
        <v>3775843.1598536735</v>
      </c>
      <c r="H657">
        <v>586</v>
      </c>
      <c r="I657" s="12">
        <v>6001405.5453799376</v>
      </c>
    </row>
    <row r="658" spans="1:9" ht="15.6" x14ac:dyDescent="0.3">
      <c r="A658">
        <v>587</v>
      </c>
      <c r="B658" s="12">
        <v>3445162.8774959007</v>
      </c>
      <c r="H658">
        <v>587</v>
      </c>
      <c r="I658" s="12">
        <v>6351722.1174854366</v>
      </c>
    </row>
    <row r="659" spans="1:9" ht="15.6" x14ac:dyDescent="0.3">
      <c r="A659">
        <v>588</v>
      </c>
      <c r="B659" s="12">
        <v>3439565.4566131388</v>
      </c>
      <c r="H659">
        <v>588</v>
      </c>
      <c r="I659" s="12">
        <v>5875372.0984704113</v>
      </c>
    </row>
    <row r="660" spans="1:9" ht="15.6" x14ac:dyDescent="0.3">
      <c r="A660">
        <v>589</v>
      </c>
      <c r="B660" s="12">
        <v>3200102.5426733503</v>
      </c>
      <c r="H660">
        <v>589</v>
      </c>
      <c r="I660" s="12">
        <v>5897224.6641669124</v>
      </c>
    </row>
    <row r="661" spans="1:9" ht="15.6" x14ac:dyDescent="0.3">
      <c r="A661">
        <v>590</v>
      </c>
      <c r="B661" s="12">
        <v>3268168.6974024759</v>
      </c>
      <c r="H661">
        <v>590</v>
      </c>
      <c r="I661" s="12">
        <v>6350702.5283250539</v>
      </c>
    </row>
    <row r="662" spans="1:9" ht="15.6" x14ac:dyDescent="0.3">
      <c r="A662">
        <v>591</v>
      </c>
      <c r="B662" s="12">
        <v>3466975.5379334413</v>
      </c>
      <c r="H662">
        <v>591</v>
      </c>
      <c r="I662" s="12">
        <v>6334940.7721298048</v>
      </c>
    </row>
    <row r="663" spans="1:9" ht="15.6" x14ac:dyDescent="0.3">
      <c r="A663">
        <v>592</v>
      </c>
      <c r="B663" s="12">
        <v>3762963.8006458404</v>
      </c>
      <c r="H663">
        <v>592</v>
      </c>
      <c r="I663" s="12">
        <v>5882446.8236262705</v>
      </c>
    </row>
    <row r="664" spans="1:9" ht="15.6" x14ac:dyDescent="0.3">
      <c r="A664">
        <v>593</v>
      </c>
      <c r="B664" s="12">
        <v>3532641.4549046927</v>
      </c>
      <c r="H664">
        <v>593</v>
      </c>
      <c r="I664" s="12">
        <v>6354155.9522942696</v>
      </c>
    </row>
    <row r="665" spans="1:9" ht="15.6" x14ac:dyDescent="0.3">
      <c r="A665">
        <v>594</v>
      </c>
      <c r="B665" s="12">
        <v>3349979.9246432805</v>
      </c>
      <c r="H665">
        <v>594</v>
      </c>
      <c r="I665" s="12">
        <v>6112959.8586880229</v>
      </c>
    </row>
    <row r="666" spans="1:9" ht="15.6" x14ac:dyDescent="0.3">
      <c r="A666">
        <v>595</v>
      </c>
      <c r="B666" s="12">
        <v>3284919.9951383015</v>
      </c>
      <c r="H666">
        <v>595</v>
      </c>
      <c r="I666" s="12">
        <v>5836455.7114642095</v>
      </c>
    </row>
    <row r="667" spans="1:9" ht="15.6" x14ac:dyDescent="0.3">
      <c r="A667">
        <v>596</v>
      </c>
      <c r="B667" s="12">
        <v>3389365.1418410852</v>
      </c>
      <c r="H667">
        <v>596</v>
      </c>
      <c r="I667" s="12">
        <v>6305330.0578084467</v>
      </c>
    </row>
    <row r="668" spans="1:9" ht="15.6" x14ac:dyDescent="0.3">
      <c r="A668">
        <v>597</v>
      </c>
      <c r="B668" s="12">
        <v>3389738.1146352296</v>
      </c>
      <c r="H668">
        <v>597</v>
      </c>
      <c r="I668" s="12">
        <v>5904598.9272511052</v>
      </c>
    </row>
    <row r="669" spans="1:9" ht="15.6" x14ac:dyDescent="0.3">
      <c r="A669">
        <v>598</v>
      </c>
      <c r="B669" s="12">
        <v>3140738.5601764214</v>
      </c>
      <c r="H669">
        <v>598</v>
      </c>
      <c r="I669" s="12">
        <v>6273539.3059501322</v>
      </c>
    </row>
    <row r="670" spans="1:9" ht="15.6" x14ac:dyDescent="0.3">
      <c r="A670">
        <v>599</v>
      </c>
      <c r="B670" s="12">
        <v>3489239.9246741808</v>
      </c>
      <c r="H670">
        <v>599</v>
      </c>
      <c r="I670" s="12">
        <v>6513724.2406235347</v>
      </c>
    </row>
    <row r="671" spans="1:9" ht="15.6" x14ac:dyDescent="0.3">
      <c r="A671">
        <v>600</v>
      </c>
      <c r="B671" s="12">
        <v>3554783.3543754644</v>
      </c>
      <c r="H671">
        <v>600</v>
      </c>
      <c r="I671" s="12">
        <v>5932037.319536062</v>
      </c>
    </row>
    <row r="672" spans="1:9" ht="15.6" x14ac:dyDescent="0.3">
      <c r="A672">
        <v>601</v>
      </c>
      <c r="B672" s="12">
        <v>3217202.0805749134</v>
      </c>
      <c r="H672">
        <v>601</v>
      </c>
      <c r="I672" s="12">
        <v>6115199.6666222708</v>
      </c>
    </row>
    <row r="673" spans="1:9" ht="15.6" x14ac:dyDescent="0.3">
      <c r="A673">
        <v>602</v>
      </c>
      <c r="B673" s="12">
        <v>3489754.7520761546</v>
      </c>
      <c r="H673">
        <v>602</v>
      </c>
      <c r="I673" s="12">
        <v>6255920.4243701873</v>
      </c>
    </row>
    <row r="674" spans="1:9" ht="15.6" x14ac:dyDescent="0.3">
      <c r="A674">
        <v>603</v>
      </c>
      <c r="B674" s="12">
        <v>3598225.5577748436</v>
      </c>
      <c r="H674">
        <v>603</v>
      </c>
      <c r="I674" s="12">
        <v>6045912.4760193024</v>
      </c>
    </row>
    <row r="675" spans="1:9" ht="15.6" x14ac:dyDescent="0.3">
      <c r="A675">
        <v>604</v>
      </c>
      <c r="B675" s="12">
        <v>3460158.0081164348</v>
      </c>
      <c r="H675">
        <v>604</v>
      </c>
      <c r="I675" s="12">
        <v>5908748.8681441601</v>
      </c>
    </row>
    <row r="676" spans="1:9" ht="15.6" x14ac:dyDescent="0.3">
      <c r="A676">
        <v>605</v>
      </c>
      <c r="B676" s="12">
        <v>3016378.5883345106</v>
      </c>
      <c r="H676">
        <v>605</v>
      </c>
      <c r="I676" s="12">
        <v>5802072.4895330556</v>
      </c>
    </row>
    <row r="677" spans="1:9" ht="15.6" x14ac:dyDescent="0.3">
      <c r="A677">
        <v>606</v>
      </c>
      <c r="B677" s="12">
        <v>3784606.5965410019</v>
      </c>
      <c r="H677">
        <v>606</v>
      </c>
      <c r="I677" s="12">
        <v>6345184.8110266402</v>
      </c>
    </row>
    <row r="678" spans="1:9" ht="15.6" x14ac:dyDescent="0.3">
      <c r="A678">
        <v>607</v>
      </c>
      <c r="B678" s="12">
        <v>3233362.6759646805</v>
      </c>
      <c r="H678">
        <v>607</v>
      </c>
      <c r="I678" s="12">
        <v>6013116.3298787437</v>
      </c>
    </row>
    <row r="679" spans="1:9" ht="15.6" x14ac:dyDescent="0.3">
      <c r="A679">
        <v>608</v>
      </c>
      <c r="B679" s="12">
        <v>3479506.0559649128</v>
      </c>
      <c r="H679">
        <v>608</v>
      </c>
      <c r="I679" s="12">
        <v>5778945.2319922252</v>
      </c>
    </row>
    <row r="680" spans="1:9" ht="15.6" x14ac:dyDescent="0.3">
      <c r="A680">
        <v>609</v>
      </c>
      <c r="B680" s="12">
        <v>3403003.2207244262</v>
      </c>
      <c r="H680">
        <v>609</v>
      </c>
      <c r="I680" s="12">
        <v>6258637.5031754225</v>
      </c>
    </row>
    <row r="681" spans="1:9" ht="15.6" x14ac:dyDescent="0.3">
      <c r="A681">
        <v>610</v>
      </c>
      <c r="B681" s="12">
        <v>3629969.2992434846</v>
      </c>
      <c r="H681">
        <v>610</v>
      </c>
      <c r="I681" s="12">
        <v>6099613.6395289414</v>
      </c>
    </row>
    <row r="682" spans="1:9" ht="15.6" x14ac:dyDescent="0.3">
      <c r="A682">
        <v>611</v>
      </c>
      <c r="B682" s="12">
        <v>3573123.9721333296</v>
      </c>
      <c r="H682">
        <v>611</v>
      </c>
      <c r="I682" s="12">
        <v>6288205.2102194997</v>
      </c>
    </row>
    <row r="683" spans="1:9" ht="15.6" x14ac:dyDescent="0.3">
      <c r="A683">
        <v>612</v>
      </c>
      <c r="B683" s="12">
        <v>3542542.2360358718</v>
      </c>
      <c r="H683">
        <v>612</v>
      </c>
      <c r="I683" s="12">
        <v>6212345.8692027349</v>
      </c>
    </row>
    <row r="684" spans="1:9" ht="15.6" x14ac:dyDescent="0.3">
      <c r="A684">
        <v>613</v>
      </c>
      <c r="B684" s="12">
        <v>3563777.9033456966</v>
      </c>
      <c r="H684">
        <v>613</v>
      </c>
      <c r="I684" s="12">
        <v>6096133.1991522722</v>
      </c>
    </row>
    <row r="685" spans="1:9" ht="15.6" x14ac:dyDescent="0.3">
      <c r="A685">
        <v>614</v>
      </c>
      <c r="B685" s="12">
        <v>3518528.6959567219</v>
      </c>
      <c r="H685">
        <v>614</v>
      </c>
      <c r="I685" s="12">
        <v>6148189.3930688137</v>
      </c>
    </row>
    <row r="686" spans="1:9" ht="15.6" x14ac:dyDescent="0.3">
      <c r="A686">
        <v>615</v>
      </c>
      <c r="B686" s="12">
        <v>3622003.363944523</v>
      </c>
      <c r="H686">
        <v>615</v>
      </c>
      <c r="I686" s="12">
        <v>5859617.7722714311</v>
      </c>
    </row>
    <row r="687" spans="1:9" ht="15.6" x14ac:dyDescent="0.3">
      <c r="A687">
        <v>616</v>
      </c>
      <c r="B687" s="12">
        <v>3113670.5553877209</v>
      </c>
      <c r="H687">
        <v>616</v>
      </c>
      <c r="I687" s="12">
        <v>6126643.3984308597</v>
      </c>
    </row>
    <row r="688" spans="1:9" ht="15.6" x14ac:dyDescent="0.3">
      <c r="A688">
        <v>617</v>
      </c>
      <c r="B688" s="12">
        <v>3518196.8557745013</v>
      </c>
      <c r="H688">
        <v>617</v>
      </c>
      <c r="I688" s="12">
        <v>6359535.6670042695</v>
      </c>
    </row>
    <row r="689" spans="1:9" ht="15.6" x14ac:dyDescent="0.3">
      <c r="A689">
        <v>618</v>
      </c>
      <c r="B689" s="12">
        <v>3535178.3427597918</v>
      </c>
      <c r="H689">
        <v>618</v>
      </c>
      <c r="I689" s="12">
        <v>5869252.7815967165</v>
      </c>
    </row>
    <row r="690" spans="1:9" ht="15.6" x14ac:dyDescent="0.3">
      <c r="A690">
        <v>619</v>
      </c>
      <c r="B690" s="12">
        <v>3574629.0992522063</v>
      </c>
      <c r="H690">
        <v>619</v>
      </c>
      <c r="I690" s="12">
        <v>6002961.1340132775</v>
      </c>
    </row>
    <row r="691" spans="1:9" ht="15.6" x14ac:dyDescent="0.3">
      <c r="A691">
        <v>620</v>
      </c>
      <c r="B691" s="12">
        <v>3425194.2617181051</v>
      </c>
      <c r="H691">
        <v>620</v>
      </c>
      <c r="I691" s="12">
        <v>6707473.3020380773</v>
      </c>
    </row>
    <row r="692" spans="1:9" ht="15.6" x14ac:dyDescent="0.3">
      <c r="A692">
        <v>621</v>
      </c>
      <c r="B692" s="12">
        <v>3267856.6937889638</v>
      </c>
      <c r="H692">
        <v>621</v>
      </c>
      <c r="I692" s="12">
        <v>6226854.0096022123</v>
      </c>
    </row>
    <row r="693" spans="1:9" ht="15.6" x14ac:dyDescent="0.3">
      <c r="A693">
        <v>622</v>
      </c>
      <c r="B693" s="12">
        <v>3555104.1211965783</v>
      </c>
      <c r="H693">
        <v>622</v>
      </c>
      <c r="I693" s="12">
        <v>5957470.5513041206</v>
      </c>
    </row>
    <row r="694" spans="1:9" ht="15.6" x14ac:dyDescent="0.3">
      <c r="A694">
        <v>623</v>
      </c>
      <c r="B694" s="12">
        <v>3371371.4659061921</v>
      </c>
      <c r="H694">
        <v>623</v>
      </c>
      <c r="I694" s="12">
        <v>6520823.1137076365</v>
      </c>
    </row>
    <row r="695" spans="1:9" ht="15.6" x14ac:dyDescent="0.3">
      <c r="A695">
        <v>624</v>
      </c>
      <c r="B695" s="12">
        <v>3524517.1257435628</v>
      </c>
      <c r="H695">
        <v>624</v>
      </c>
      <c r="I695" s="12">
        <v>5948008.9467004957</v>
      </c>
    </row>
    <row r="696" spans="1:9" ht="15.6" x14ac:dyDescent="0.3">
      <c r="A696">
        <v>625</v>
      </c>
      <c r="B696" s="12">
        <v>3828457.2833876759</v>
      </c>
      <c r="H696">
        <v>625</v>
      </c>
      <c r="I696" s="12">
        <v>6068458.5321736615</v>
      </c>
    </row>
    <row r="697" spans="1:9" ht="15.6" x14ac:dyDescent="0.3">
      <c r="A697">
        <v>626</v>
      </c>
      <c r="B697" s="12">
        <v>3345166.1748823081</v>
      </c>
      <c r="H697">
        <v>626</v>
      </c>
      <c r="I697" s="12">
        <v>6322494.903550514</v>
      </c>
    </row>
    <row r="698" spans="1:9" ht="15.6" x14ac:dyDescent="0.3">
      <c r="A698">
        <v>627</v>
      </c>
      <c r="B698" s="12">
        <v>3459209.6449854099</v>
      </c>
      <c r="H698">
        <v>627</v>
      </c>
      <c r="I698" s="12">
        <v>6403523.2433051374</v>
      </c>
    </row>
    <row r="699" spans="1:9" ht="15.6" x14ac:dyDescent="0.3">
      <c r="A699">
        <v>628</v>
      </c>
      <c r="B699" s="12">
        <v>3241023.2840861664</v>
      </c>
      <c r="H699">
        <v>628</v>
      </c>
      <c r="I699" s="12">
        <v>6366743.5460142586</v>
      </c>
    </row>
    <row r="700" spans="1:9" ht="15.6" x14ac:dyDescent="0.3">
      <c r="A700">
        <v>629</v>
      </c>
      <c r="B700" s="12">
        <v>3389502.9788288563</v>
      </c>
      <c r="H700">
        <v>629</v>
      </c>
      <c r="I700" s="12">
        <v>6106256.066787296</v>
      </c>
    </row>
    <row r="701" spans="1:9" ht="15.6" x14ac:dyDescent="0.3">
      <c r="A701">
        <v>630</v>
      </c>
      <c r="B701" s="12">
        <v>3474288.4813230662</v>
      </c>
      <c r="H701">
        <v>630</v>
      </c>
      <c r="I701" s="12">
        <v>6005569.0411129296</v>
      </c>
    </row>
    <row r="702" spans="1:9" ht="15.6" x14ac:dyDescent="0.3">
      <c r="A702">
        <v>631</v>
      </c>
      <c r="B702" s="12">
        <v>3316135.6641895697</v>
      </c>
      <c r="H702">
        <v>631</v>
      </c>
      <c r="I702" s="12">
        <v>6321788.7637671502</v>
      </c>
    </row>
    <row r="703" spans="1:9" ht="15.6" x14ac:dyDescent="0.3">
      <c r="A703">
        <v>632</v>
      </c>
      <c r="B703" s="12">
        <v>3526211.8995194105</v>
      </c>
      <c r="H703">
        <v>632</v>
      </c>
      <c r="I703" s="12">
        <v>5918270.6802888382</v>
      </c>
    </row>
    <row r="704" spans="1:9" ht="15.6" x14ac:dyDescent="0.3">
      <c r="A704">
        <v>633</v>
      </c>
      <c r="B704" s="12">
        <v>3518776.2644879362</v>
      </c>
      <c r="H704">
        <v>633</v>
      </c>
      <c r="I704" s="12">
        <v>6597996.6084429724</v>
      </c>
    </row>
    <row r="705" spans="1:9" ht="15.6" x14ac:dyDescent="0.3">
      <c r="A705">
        <v>634</v>
      </c>
      <c r="B705" s="12">
        <v>3600056.8922608104</v>
      </c>
      <c r="H705">
        <v>634</v>
      </c>
      <c r="I705" s="12">
        <v>5870982.7019699616</v>
      </c>
    </row>
    <row r="706" spans="1:9" ht="15.6" x14ac:dyDescent="0.3">
      <c r="A706">
        <v>635</v>
      </c>
      <c r="B706" s="12">
        <v>3523617.9960971111</v>
      </c>
      <c r="H706">
        <v>635</v>
      </c>
      <c r="I706" s="12">
        <v>5812332.9243728947</v>
      </c>
    </row>
    <row r="707" spans="1:9" ht="15.6" x14ac:dyDescent="0.3">
      <c r="A707">
        <v>636</v>
      </c>
      <c r="B707" s="12">
        <v>3686361.7329925657</v>
      </c>
      <c r="H707">
        <v>636</v>
      </c>
      <c r="I707" s="12">
        <v>6129773.0720796399</v>
      </c>
    </row>
    <row r="708" spans="1:9" ht="15.6" x14ac:dyDescent="0.3">
      <c r="A708">
        <v>637</v>
      </c>
      <c r="B708" s="12">
        <v>3259346.7339037051</v>
      </c>
      <c r="H708">
        <v>637</v>
      </c>
      <c r="I708" s="12">
        <v>6001096.2742561502</v>
      </c>
    </row>
    <row r="709" spans="1:9" ht="15.6" x14ac:dyDescent="0.3">
      <c r="A709">
        <v>638</v>
      </c>
      <c r="B709" s="12">
        <v>3751151.8645886211</v>
      </c>
      <c r="H709">
        <v>638</v>
      </c>
      <c r="I709" s="12">
        <v>6285343.5387892313</v>
      </c>
    </row>
    <row r="710" spans="1:9" ht="15.6" x14ac:dyDescent="0.3">
      <c r="A710">
        <v>639</v>
      </c>
      <c r="B710" s="12">
        <v>3702574.4732508934</v>
      </c>
      <c r="H710">
        <v>639</v>
      </c>
      <c r="I710" s="12">
        <v>6281436.8309367243</v>
      </c>
    </row>
    <row r="711" spans="1:9" ht="15.6" x14ac:dyDescent="0.3">
      <c r="A711">
        <v>640</v>
      </c>
      <c r="B711" s="12">
        <v>3375375.2721958412</v>
      </c>
      <c r="H711">
        <v>640</v>
      </c>
      <c r="I711" s="12">
        <v>6065094.8631565478</v>
      </c>
    </row>
    <row r="712" spans="1:9" ht="15.6" x14ac:dyDescent="0.3">
      <c r="A712">
        <v>641</v>
      </c>
      <c r="B712" s="12">
        <v>3411430.1015260057</v>
      </c>
      <c r="H712">
        <v>641</v>
      </c>
      <c r="I712" s="12">
        <v>5811832.4045228139</v>
      </c>
    </row>
    <row r="713" spans="1:9" ht="15.6" x14ac:dyDescent="0.3">
      <c r="A713">
        <v>642</v>
      </c>
      <c r="B713" s="12">
        <v>3267284.9601938142</v>
      </c>
      <c r="H713">
        <v>642</v>
      </c>
      <c r="I713" s="12">
        <v>6361245.1075988943</v>
      </c>
    </row>
    <row r="714" spans="1:9" ht="15.6" x14ac:dyDescent="0.3">
      <c r="A714">
        <v>643</v>
      </c>
      <c r="B714" s="12">
        <v>3204777.1017593425</v>
      </c>
      <c r="H714">
        <v>643</v>
      </c>
      <c r="I714" s="12">
        <v>5893799.940458701</v>
      </c>
    </row>
    <row r="715" spans="1:9" ht="15.6" x14ac:dyDescent="0.3">
      <c r="A715">
        <v>644</v>
      </c>
      <c r="B715" s="12">
        <v>3164388.3152459995</v>
      </c>
      <c r="H715">
        <v>644</v>
      </c>
      <c r="I715" s="12">
        <v>5912150.8338714167</v>
      </c>
    </row>
    <row r="716" spans="1:9" ht="15.6" x14ac:dyDescent="0.3">
      <c r="A716">
        <v>645</v>
      </c>
      <c r="B716" s="12">
        <v>3692317.7917421875</v>
      </c>
      <c r="H716">
        <v>645</v>
      </c>
      <c r="I716" s="12">
        <v>6506327.5731663508</v>
      </c>
    </row>
    <row r="717" spans="1:9" ht="15.6" x14ac:dyDescent="0.3">
      <c r="A717">
        <v>646</v>
      </c>
      <c r="B717" s="12">
        <v>3459522.2415726851</v>
      </c>
      <c r="H717">
        <v>646</v>
      </c>
      <c r="I717" s="12">
        <v>6321200.7885014713</v>
      </c>
    </row>
    <row r="718" spans="1:9" ht="15.6" x14ac:dyDescent="0.3">
      <c r="A718">
        <v>647</v>
      </c>
      <c r="B718" s="12">
        <v>3534875.6287829913</v>
      </c>
      <c r="H718">
        <v>647</v>
      </c>
      <c r="I718" s="12">
        <v>6336616.3279484063</v>
      </c>
    </row>
    <row r="719" spans="1:9" ht="15.6" x14ac:dyDescent="0.3">
      <c r="A719">
        <v>648</v>
      </c>
      <c r="B719" s="12">
        <v>3308594.283192561</v>
      </c>
      <c r="H719">
        <v>648</v>
      </c>
      <c r="I719" s="12">
        <v>6245410.9931306187</v>
      </c>
    </row>
    <row r="720" spans="1:9" ht="15.6" x14ac:dyDescent="0.3">
      <c r="A720">
        <v>649</v>
      </c>
      <c r="B720" s="12">
        <v>3344585.8070153198</v>
      </c>
      <c r="H720">
        <v>649</v>
      </c>
      <c r="I720" s="12">
        <v>5914371.6725259908</v>
      </c>
    </row>
    <row r="721" spans="1:9" ht="15.6" x14ac:dyDescent="0.3">
      <c r="A721">
        <v>650</v>
      </c>
      <c r="B721" s="12">
        <v>3611128.5969106383</v>
      </c>
      <c r="H721">
        <v>650</v>
      </c>
      <c r="I721" s="12">
        <v>6005270.419853962</v>
      </c>
    </row>
    <row r="722" spans="1:9" ht="15.6" x14ac:dyDescent="0.3">
      <c r="A722">
        <v>651</v>
      </c>
      <c r="B722" s="12">
        <v>3283754.2261420349</v>
      </c>
      <c r="H722">
        <v>651</v>
      </c>
      <c r="I722" s="12">
        <v>6241617.9811597783</v>
      </c>
    </row>
    <row r="723" spans="1:9" ht="15.6" x14ac:dyDescent="0.3">
      <c r="A723">
        <v>652</v>
      </c>
      <c r="B723" s="12">
        <v>3351106.079684278</v>
      </c>
      <c r="H723">
        <v>652</v>
      </c>
      <c r="I723" s="12">
        <v>6256338.1611796608</v>
      </c>
    </row>
    <row r="724" spans="1:9" ht="15.6" x14ac:dyDescent="0.3">
      <c r="A724">
        <v>653</v>
      </c>
      <c r="B724" s="12">
        <v>3524958.0020091534</v>
      </c>
      <c r="H724">
        <v>653</v>
      </c>
      <c r="I724" s="12">
        <v>5704281.0793109117</v>
      </c>
    </row>
    <row r="725" spans="1:9" ht="15.6" x14ac:dyDescent="0.3">
      <c r="A725">
        <v>654</v>
      </c>
      <c r="B725" s="12">
        <v>3360676.0991599839</v>
      </c>
      <c r="H725">
        <v>654</v>
      </c>
      <c r="I725" s="12">
        <v>6132634.465284612</v>
      </c>
    </row>
    <row r="726" spans="1:9" ht="15.6" x14ac:dyDescent="0.3">
      <c r="A726">
        <v>655</v>
      </c>
      <c r="B726" s="12">
        <v>3322863.85607574</v>
      </c>
      <c r="H726">
        <v>655</v>
      </c>
      <c r="I726" s="12">
        <v>6062460.3837807449</v>
      </c>
    </row>
    <row r="727" spans="1:9" ht="15.6" x14ac:dyDescent="0.3">
      <c r="A727">
        <v>656</v>
      </c>
      <c r="B727" s="12">
        <v>3622328.686230144</v>
      </c>
      <c r="H727">
        <v>656</v>
      </c>
      <c r="I727" s="12">
        <v>6370499.3723964682</v>
      </c>
    </row>
    <row r="728" spans="1:9" ht="15.6" x14ac:dyDescent="0.3">
      <c r="A728">
        <v>657</v>
      </c>
      <c r="B728" s="12">
        <v>3525585.0545654614</v>
      </c>
      <c r="H728">
        <v>657</v>
      </c>
      <c r="I728" s="12">
        <v>5900050.9829690196</v>
      </c>
    </row>
    <row r="729" spans="1:9" ht="15.6" x14ac:dyDescent="0.3">
      <c r="A729">
        <v>658</v>
      </c>
      <c r="B729" s="12">
        <v>3153025.0135044358</v>
      </c>
      <c r="H729">
        <v>658</v>
      </c>
      <c r="I729" s="12">
        <v>6705121.9602044029</v>
      </c>
    </row>
    <row r="730" spans="1:9" ht="15.6" x14ac:dyDescent="0.3">
      <c r="A730">
        <v>659</v>
      </c>
      <c r="B730" s="12">
        <v>3335199.852499641</v>
      </c>
      <c r="H730">
        <v>659</v>
      </c>
      <c r="I730" s="12">
        <v>5840187.1408903254</v>
      </c>
    </row>
    <row r="731" spans="1:9" ht="15.6" x14ac:dyDescent="0.3">
      <c r="A731">
        <v>660</v>
      </c>
      <c r="B731" s="12">
        <v>3511820.4688950395</v>
      </c>
      <c r="H731">
        <v>660</v>
      </c>
      <c r="I731" s="12">
        <v>6022798.1405784339</v>
      </c>
    </row>
    <row r="732" spans="1:9" ht="15.6" x14ac:dyDescent="0.3">
      <c r="A732">
        <v>661</v>
      </c>
      <c r="B732" s="12">
        <v>3453504.0418180139</v>
      </c>
      <c r="H732">
        <v>661</v>
      </c>
      <c r="I732" s="12">
        <v>6500402.6127987886</v>
      </c>
    </row>
    <row r="733" spans="1:9" ht="15.6" x14ac:dyDescent="0.3">
      <c r="A733">
        <v>662</v>
      </c>
      <c r="B733" s="12">
        <v>3486037.5940417927</v>
      </c>
      <c r="H733">
        <v>662</v>
      </c>
      <c r="I733" s="12">
        <v>6530339.330787845</v>
      </c>
    </row>
    <row r="734" spans="1:9" ht="15.6" x14ac:dyDescent="0.3">
      <c r="A734">
        <v>663</v>
      </c>
      <c r="B734" s="12">
        <v>3606119.9249301907</v>
      </c>
      <c r="H734">
        <v>663</v>
      </c>
      <c r="I734" s="12">
        <v>6416475.6330877375</v>
      </c>
    </row>
    <row r="735" spans="1:9" ht="15.6" x14ac:dyDescent="0.3">
      <c r="A735">
        <v>664</v>
      </c>
      <c r="B735" s="12">
        <v>3345492.3123811255</v>
      </c>
      <c r="H735">
        <v>664</v>
      </c>
      <c r="I735" s="12">
        <v>6074742.3254950335</v>
      </c>
    </row>
    <row r="736" spans="1:9" ht="15.6" x14ac:dyDescent="0.3">
      <c r="A736">
        <v>665</v>
      </c>
      <c r="B736" s="12">
        <v>3656966.9900127794</v>
      </c>
      <c r="H736">
        <v>665</v>
      </c>
      <c r="I736" s="12">
        <v>5705995.6740565654</v>
      </c>
    </row>
    <row r="737" spans="1:9" ht="15.6" x14ac:dyDescent="0.3">
      <c r="A737">
        <v>666</v>
      </c>
      <c r="B737" s="12">
        <v>3513742.341691433</v>
      </c>
      <c r="H737">
        <v>666</v>
      </c>
      <c r="I737" s="12">
        <v>5886918.1993940454</v>
      </c>
    </row>
    <row r="738" spans="1:9" ht="15.6" x14ac:dyDescent="0.3">
      <c r="A738">
        <v>667</v>
      </c>
      <c r="B738" s="12">
        <v>3528512.7037620274</v>
      </c>
      <c r="H738">
        <v>667</v>
      </c>
      <c r="I738" s="12">
        <v>6152935.0392009038</v>
      </c>
    </row>
    <row r="739" spans="1:9" ht="15.6" x14ac:dyDescent="0.3">
      <c r="A739">
        <v>668</v>
      </c>
      <c r="B739" s="12">
        <v>3323672.2752347235</v>
      </c>
      <c r="H739">
        <v>668</v>
      </c>
      <c r="I739" s="12">
        <v>6095538.1619130941</v>
      </c>
    </row>
    <row r="740" spans="1:9" ht="15.6" x14ac:dyDescent="0.3">
      <c r="A740">
        <v>669</v>
      </c>
      <c r="B740" s="12">
        <v>3493206.4157011095</v>
      </c>
      <c r="H740">
        <v>669</v>
      </c>
      <c r="I740" s="12">
        <v>6260490.9885900021</v>
      </c>
    </row>
    <row r="741" spans="1:9" ht="15.6" x14ac:dyDescent="0.3">
      <c r="A741">
        <v>670</v>
      </c>
      <c r="B741" s="12">
        <v>3452279.8070590976</v>
      </c>
      <c r="H741">
        <v>670</v>
      </c>
      <c r="I741" s="12">
        <v>6034104.5829324797</v>
      </c>
    </row>
    <row r="742" spans="1:9" ht="15.6" x14ac:dyDescent="0.3">
      <c r="A742">
        <v>671</v>
      </c>
      <c r="B742" s="12">
        <v>3337566.0652970406</v>
      </c>
      <c r="H742">
        <v>671</v>
      </c>
      <c r="I742" s="12">
        <v>6100275.2326714471</v>
      </c>
    </row>
    <row r="743" spans="1:9" ht="15.6" x14ac:dyDescent="0.3">
      <c r="A743">
        <v>672</v>
      </c>
      <c r="B743" s="12">
        <v>3441737.0204189527</v>
      </c>
      <c r="H743">
        <v>672</v>
      </c>
      <c r="I743" s="12">
        <v>6172891.5519160647</v>
      </c>
    </row>
    <row r="744" spans="1:9" ht="15.6" x14ac:dyDescent="0.3">
      <c r="A744">
        <v>673</v>
      </c>
      <c r="B744" s="12">
        <v>3176080.8972799727</v>
      </c>
      <c r="H744">
        <v>673</v>
      </c>
      <c r="I744" s="12">
        <v>5970839.9035235113</v>
      </c>
    </row>
    <row r="745" spans="1:9" ht="15.6" x14ac:dyDescent="0.3">
      <c r="A745">
        <v>674</v>
      </c>
      <c r="B745" s="12">
        <v>3557822.6802948904</v>
      </c>
      <c r="H745">
        <v>674</v>
      </c>
      <c r="I745" s="12">
        <v>5974812.0580280954</v>
      </c>
    </row>
    <row r="746" spans="1:9" ht="15.6" x14ac:dyDescent="0.3">
      <c r="A746">
        <v>675</v>
      </c>
      <c r="B746" s="12">
        <v>3390363.9872413673</v>
      </c>
      <c r="H746">
        <v>675</v>
      </c>
      <c r="I746" s="12">
        <v>6051589.4228721475</v>
      </c>
    </row>
    <row r="747" spans="1:9" ht="15.6" x14ac:dyDescent="0.3">
      <c r="A747">
        <v>676</v>
      </c>
      <c r="B747" s="12">
        <v>3254126.838737885</v>
      </c>
      <c r="H747">
        <v>676</v>
      </c>
      <c r="I747" s="12">
        <v>6497074.9196766838</v>
      </c>
    </row>
    <row r="748" spans="1:9" ht="15.6" x14ac:dyDescent="0.3">
      <c r="A748">
        <v>677</v>
      </c>
      <c r="B748" s="12">
        <v>3513584.7688268321</v>
      </c>
      <c r="H748">
        <v>677</v>
      </c>
      <c r="I748" s="12">
        <v>6328829.7611063793</v>
      </c>
    </row>
    <row r="749" spans="1:9" ht="15.6" x14ac:dyDescent="0.3">
      <c r="A749">
        <v>678</v>
      </c>
      <c r="B749" s="12">
        <v>3454306.0145550398</v>
      </c>
      <c r="H749">
        <v>678</v>
      </c>
      <c r="I749" s="12">
        <v>6281388.9200871233</v>
      </c>
    </row>
    <row r="750" spans="1:9" ht="15.6" x14ac:dyDescent="0.3">
      <c r="A750">
        <v>679</v>
      </c>
      <c r="B750" s="12">
        <v>3446343.4943936267</v>
      </c>
      <c r="H750">
        <v>679</v>
      </c>
      <c r="I750" s="12">
        <v>6005204.955030961</v>
      </c>
    </row>
    <row r="751" spans="1:9" ht="15.6" x14ac:dyDescent="0.3">
      <c r="A751">
        <v>680</v>
      </c>
      <c r="B751" s="12">
        <v>3324747.3713620487</v>
      </c>
      <c r="H751">
        <v>680</v>
      </c>
      <c r="I751" s="12">
        <v>6439970.5657189973</v>
      </c>
    </row>
    <row r="752" spans="1:9" ht="15.6" x14ac:dyDescent="0.3">
      <c r="A752">
        <v>681</v>
      </c>
      <c r="B752" s="12">
        <v>3195482.6210633293</v>
      </c>
      <c r="H752">
        <v>681</v>
      </c>
      <c r="I752" s="12">
        <v>6400840.9482628684</v>
      </c>
    </row>
    <row r="753" spans="1:9" ht="15.6" x14ac:dyDescent="0.3">
      <c r="A753">
        <v>682</v>
      </c>
      <c r="B753" s="12">
        <v>3343154.2375783431</v>
      </c>
      <c r="H753">
        <v>682</v>
      </c>
      <c r="I753" s="12">
        <v>5792429.2775981128</v>
      </c>
    </row>
    <row r="754" spans="1:9" ht="15.6" x14ac:dyDescent="0.3">
      <c r="A754">
        <v>683</v>
      </c>
      <c r="B754" s="12">
        <v>3362196.7879379322</v>
      </c>
      <c r="H754">
        <v>683</v>
      </c>
      <c r="I754" s="12">
        <v>6342951.8818195537</v>
      </c>
    </row>
    <row r="755" spans="1:9" ht="15.6" x14ac:dyDescent="0.3">
      <c r="A755">
        <v>684</v>
      </c>
      <c r="B755" s="12">
        <v>3446136.9804648957</v>
      </c>
      <c r="H755">
        <v>684</v>
      </c>
      <c r="I755" s="12">
        <v>6400082.6718832087</v>
      </c>
    </row>
    <row r="756" spans="1:9" ht="15.6" x14ac:dyDescent="0.3">
      <c r="A756">
        <v>685</v>
      </c>
      <c r="B756" s="12">
        <v>3553169.7925497647</v>
      </c>
      <c r="H756">
        <v>685</v>
      </c>
      <c r="I756" s="12">
        <v>6167585.2753132284</v>
      </c>
    </row>
    <row r="757" spans="1:9" ht="15.6" x14ac:dyDescent="0.3">
      <c r="A757">
        <v>686</v>
      </c>
      <c r="B757" s="12">
        <v>3632077.9567098664</v>
      </c>
      <c r="H757">
        <v>686</v>
      </c>
      <c r="I757" s="12">
        <v>6313295.868977868</v>
      </c>
    </row>
    <row r="758" spans="1:9" ht="15.6" x14ac:dyDescent="0.3">
      <c r="A758">
        <v>687</v>
      </c>
      <c r="B758" s="12">
        <v>3496015.9405351742</v>
      </c>
      <c r="H758">
        <v>687</v>
      </c>
      <c r="I758" s="12">
        <v>6210776.864857357</v>
      </c>
    </row>
    <row r="759" spans="1:9" ht="15.6" x14ac:dyDescent="0.3">
      <c r="A759">
        <v>688</v>
      </c>
      <c r="B759" s="12">
        <v>3443751.7091829483</v>
      </c>
      <c r="H759">
        <v>688</v>
      </c>
      <c r="I759" s="12">
        <v>6462666.0849158019</v>
      </c>
    </row>
    <row r="760" spans="1:9" ht="15.6" x14ac:dyDescent="0.3">
      <c r="A760">
        <v>689</v>
      </c>
      <c r="B760" s="12">
        <v>3590187.0702370987</v>
      </c>
      <c r="H760">
        <v>689</v>
      </c>
      <c r="I760" s="12">
        <v>6521256.4708306771</v>
      </c>
    </row>
    <row r="761" spans="1:9" ht="15.6" x14ac:dyDescent="0.3">
      <c r="A761">
        <v>690</v>
      </c>
      <c r="B761" s="12">
        <v>3535666.200132546</v>
      </c>
      <c r="H761">
        <v>690</v>
      </c>
      <c r="I761" s="12">
        <v>6313988.6638478395</v>
      </c>
    </row>
    <row r="762" spans="1:9" ht="15.6" x14ac:dyDescent="0.3">
      <c r="A762">
        <v>691</v>
      </c>
      <c r="B762" s="12">
        <v>3460506.7139897235</v>
      </c>
      <c r="H762">
        <v>691</v>
      </c>
      <c r="I762" s="12">
        <v>6440098.7394003728</v>
      </c>
    </row>
    <row r="763" spans="1:9" ht="15.6" x14ac:dyDescent="0.3">
      <c r="A763">
        <v>692</v>
      </c>
      <c r="B763" s="12">
        <v>3313773.5773279881</v>
      </c>
      <c r="H763">
        <v>692</v>
      </c>
      <c r="I763" s="12">
        <v>5770975.9409279767</v>
      </c>
    </row>
    <row r="764" spans="1:9" ht="15.6" x14ac:dyDescent="0.3">
      <c r="A764">
        <v>693</v>
      </c>
      <c r="B764" s="12">
        <v>3417479.0836722148</v>
      </c>
      <c r="H764">
        <v>693</v>
      </c>
      <c r="I764" s="12">
        <v>6330803.1140955063</v>
      </c>
    </row>
    <row r="765" spans="1:9" ht="15.6" x14ac:dyDescent="0.3">
      <c r="A765">
        <v>694</v>
      </c>
      <c r="B765" s="12">
        <v>3477023.4716666224</v>
      </c>
      <c r="H765">
        <v>694</v>
      </c>
      <c r="I765" s="12">
        <v>6190599.7066920064</v>
      </c>
    </row>
    <row r="766" spans="1:9" ht="15.6" x14ac:dyDescent="0.3">
      <c r="A766">
        <v>695</v>
      </c>
      <c r="B766" s="12">
        <v>3418647.1184667014</v>
      </c>
      <c r="H766">
        <v>695</v>
      </c>
      <c r="I766" s="12">
        <v>6435207.3188599544</v>
      </c>
    </row>
    <row r="767" spans="1:9" ht="15.6" x14ac:dyDescent="0.3">
      <c r="A767">
        <v>696</v>
      </c>
      <c r="B767" s="12">
        <v>3143437.1666123648</v>
      </c>
      <c r="H767">
        <v>696</v>
      </c>
      <c r="I767" s="12">
        <v>6151950.4949988341</v>
      </c>
    </row>
    <row r="768" spans="1:9" ht="15.6" x14ac:dyDescent="0.3">
      <c r="A768">
        <v>697</v>
      </c>
      <c r="B768" s="12">
        <v>3425070.4061911982</v>
      </c>
      <c r="H768">
        <v>697</v>
      </c>
      <c r="I768" s="12">
        <v>6149521.7457121741</v>
      </c>
    </row>
    <row r="769" spans="1:9" ht="15.6" x14ac:dyDescent="0.3">
      <c r="A769">
        <v>698</v>
      </c>
      <c r="B769" s="12">
        <v>3389418.812199817</v>
      </c>
      <c r="H769">
        <v>698</v>
      </c>
      <c r="I769" s="12">
        <v>6068656.6893286947</v>
      </c>
    </row>
    <row r="770" spans="1:9" ht="15.6" x14ac:dyDescent="0.3">
      <c r="A770">
        <v>699</v>
      </c>
      <c r="B770" s="12">
        <v>3686486.9788174434</v>
      </c>
      <c r="H770">
        <v>699</v>
      </c>
      <c r="I770" s="12">
        <v>6123779.3710271502</v>
      </c>
    </row>
    <row r="771" spans="1:9" ht="15.6" x14ac:dyDescent="0.3">
      <c r="A771">
        <v>700</v>
      </c>
      <c r="B771" s="12">
        <v>3310840.1692050323</v>
      </c>
      <c r="H771">
        <v>700</v>
      </c>
      <c r="I771" s="12">
        <v>6501595.1505328668</v>
      </c>
    </row>
    <row r="772" spans="1:9" ht="15.6" x14ac:dyDescent="0.3">
      <c r="A772">
        <v>701</v>
      </c>
      <c r="B772" s="12">
        <v>3501796.4203249868</v>
      </c>
      <c r="H772">
        <v>701</v>
      </c>
      <c r="I772" s="12">
        <v>5821103.2673704019</v>
      </c>
    </row>
    <row r="773" spans="1:9" ht="15.6" x14ac:dyDescent="0.3">
      <c r="A773">
        <v>702</v>
      </c>
      <c r="B773" s="12">
        <v>3285962.3737301347</v>
      </c>
      <c r="H773">
        <v>702</v>
      </c>
      <c r="I773" s="12">
        <v>6104862.6166684218</v>
      </c>
    </row>
    <row r="774" spans="1:9" ht="15.6" x14ac:dyDescent="0.3">
      <c r="A774">
        <v>703</v>
      </c>
      <c r="B774" s="12">
        <v>3372700.3239505356</v>
      </c>
      <c r="H774">
        <v>703</v>
      </c>
      <c r="I774" s="12">
        <v>6098257.2714446038</v>
      </c>
    </row>
    <row r="775" spans="1:9" ht="15.6" x14ac:dyDescent="0.3">
      <c r="A775">
        <v>704</v>
      </c>
      <c r="B775" s="12">
        <v>3496818.9222420193</v>
      </c>
      <c r="H775">
        <v>704</v>
      </c>
      <c r="I775" s="12">
        <v>7007480.7597894995</v>
      </c>
    </row>
    <row r="776" spans="1:9" ht="15.6" x14ac:dyDescent="0.3">
      <c r="A776">
        <v>705</v>
      </c>
      <c r="B776" s="12">
        <v>3525227.688338364</v>
      </c>
      <c r="H776">
        <v>705</v>
      </c>
      <c r="I776" s="12">
        <v>6778203.8937998321</v>
      </c>
    </row>
    <row r="777" spans="1:9" ht="15.6" x14ac:dyDescent="0.3">
      <c r="A777">
        <v>706</v>
      </c>
      <c r="B777" s="12">
        <v>3498427.9730095798</v>
      </c>
      <c r="H777">
        <v>706</v>
      </c>
      <c r="I777" s="12">
        <v>6314435.2053952487</v>
      </c>
    </row>
    <row r="778" spans="1:9" ht="15.6" x14ac:dyDescent="0.3">
      <c r="A778">
        <v>707</v>
      </c>
      <c r="B778" s="12">
        <v>3633068.4285365436</v>
      </c>
      <c r="H778">
        <v>707</v>
      </c>
      <c r="I778" s="12">
        <v>6211380.9850793406</v>
      </c>
    </row>
    <row r="779" spans="1:9" ht="15.6" x14ac:dyDescent="0.3">
      <c r="A779">
        <v>708</v>
      </c>
      <c r="B779" s="12">
        <v>3199792.0254302667</v>
      </c>
      <c r="H779">
        <v>708</v>
      </c>
      <c r="I779" s="12">
        <v>6159836.9159455337</v>
      </c>
    </row>
    <row r="780" spans="1:9" ht="15.6" x14ac:dyDescent="0.3">
      <c r="A780">
        <v>709</v>
      </c>
      <c r="B780" s="12">
        <v>3413330.3187494711</v>
      </c>
      <c r="H780">
        <v>709</v>
      </c>
      <c r="I780" s="12">
        <v>5779755.142690599</v>
      </c>
    </row>
    <row r="781" spans="1:9" ht="15.6" x14ac:dyDescent="0.3">
      <c r="A781">
        <v>710</v>
      </c>
      <c r="B781" s="12">
        <v>3711237.0840412956</v>
      </c>
      <c r="H781">
        <v>710</v>
      </c>
      <c r="I781" s="12">
        <v>6033826.5352502102</v>
      </c>
    </row>
    <row r="782" spans="1:9" ht="15.6" x14ac:dyDescent="0.3">
      <c r="A782">
        <v>711</v>
      </c>
      <c r="B782" s="12">
        <v>3632464.3503506337</v>
      </c>
      <c r="H782">
        <v>711</v>
      </c>
      <c r="I782" s="12">
        <v>5939289.5613549398</v>
      </c>
    </row>
    <row r="783" spans="1:9" ht="15.6" x14ac:dyDescent="0.3">
      <c r="A783">
        <v>712</v>
      </c>
      <c r="B783" s="12">
        <v>3689545.8413424473</v>
      </c>
      <c r="H783">
        <v>712</v>
      </c>
      <c r="I783" s="12">
        <v>6347593.0087144868</v>
      </c>
    </row>
    <row r="784" spans="1:9" ht="15.6" x14ac:dyDescent="0.3">
      <c r="A784">
        <v>713</v>
      </c>
      <c r="B784" s="12">
        <v>3241618.461822825</v>
      </c>
      <c r="H784">
        <v>713</v>
      </c>
      <c r="I784" s="12">
        <v>5876718.0761344228</v>
      </c>
    </row>
    <row r="785" spans="1:9" ht="15.6" x14ac:dyDescent="0.3">
      <c r="A785">
        <v>714</v>
      </c>
      <c r="B785" s="12">
        <v>3213968.7649043645</v>
      </c>
      <c r="H785">
        <v>714</v>
      </c>
      <c r="I785" s="12">
        <v>6049288.1639057668</v>
      </c>
    </row>
    <row r="786" spans="1:9" ht="15.6" x14ac:dyDescent="0.3">
      <c r="A786">
        <v>715</v>
      </c>
      <c r="B786" s="12">
        <v>3598807.5658305795</v>
      </c>
      <c r="H786">
        <v>715</v>
      </c>
      <c r="I786" s="12">
        <v>6159080.3956289832</v>
      </c>
    </row>
    <row r="787" spans="1:9" ht="15.6" x14ac:dyDescent="0.3">
      <c r="A787">
        <v>716</v>
      </c>
      <c r="B787" s="12">
        <v>3374765.564474551</v>
      </c>
      <c r="H787">
        <v>716</v>
      </c>
      <c r="I787" s="12">
        <v>5837496.5263635255</v>
      </c>
    </row>
    <row r="788" spans="1:9" ht="15.6" x14ac:dyDescent="0.3">
      <c r="A788">
        <v>717</v>
      </c>
      <c r="B788" s="12">
        <v>3482597.595131156</v>
      </c>
      <c r="H788">
        <v>717</v>
      </c>
      <c r="I788" s="12">
        <v>6608466.7195208734</v>
      </c>
    </row>
    <row r="789" spans="1:9" ht="15.6" x14ac:dyDescent="0.3">
      <c r="A789">
        <v>718</v>
      </c>
      <c r="B789" s="12">
        <v>3579378.8971066768</v>
      </c>
      <c r="H789">
        <v>718</v>
      </c>
      <c r="I789" s="12">
        <v>6471526.4194260892</v>
      </c>
    </row>
    <row r="790" spans="1:9" ht="15.6" x14ac:dyDescent="0.3">
      <c r="A790">
        <v>719</v>
      </c>
      <c r="B790" s="12">
        <v>3384192.7915747152</v>
      </c>
      <c r="H790">
        <v>719</v>
      </c>
      <c r="I790" s="12">
        <v>6284700.1196217444</v>
      </c>
    </row>
    <row r="791" spans="1:9" ht="15.6" x14ac:dyDescent="0.3">
      <c r="A791">
        <v>720</v>
      </c>
      <c r="B791" s="12">
        <v>3382983.998297228</v>
      </c>
      <c r="H791">
        <v>720</v>
      </c>
      <c r="I791" s="12">
        <v>6130974.3606298799</v>
      </c>
    </row>
    <row r="792" spans="1:9" ht="15.6" x14ac:dyDescent="0.3">
      <c r="A792">
        <v>721</v>
      </c>
      <c r="B792" s="12">
        <v>3236546.7515389281</v>
      </c>
      <c r="H792">
        <v>721</v>
      </c>
      <c r="I792" s="12">
        <v>6519003.2334370511</v>
      </c>
    </row>
    <row r="793" spans="1:9" ht="15.6" x14ac:dyDescent="0.3">
      <c r="A793">
        <v>722</v>
      </c>
      <c r="B793" s="12">
        <v>3293774.2360671973</v>
      </c>
      <c r="H793">
        <v>722</v>
      </c>
      <c r="I793" s="12">
        <v>6338495.733392098</v>
      </c>
    </row>
    <row r="794" spans="1:9" ht="15.6" x14ac:dyDescent="0.3">
      <c r="A794">
        <v>723</v>
      </c>
      <c r="B794" s="12">
        <v>3887045.2643566877</v>
      </c>
      <c r="H794">
        <v>723</v>
      </c>
      <c r="I794" s="12">
        <v>5795480.9112320188</v>
      </c>
    </row>
    <row r="795" spans="1:9" ht="15.6" x14ac:dyDescent="0.3">
      <c r="A795">
        <v>724</v>
      </c>
      <c r="B795" s="12">
        <v>3343166.5728695593</v>
      </c>
      <c r="H795">
        <v>724</v>
      </c>
      <c r="I795" s="12">
        <v>6144090.3189157126</v>
      </c>
    </row>
    <row r="796" spans="1:9" ht="15.6" x14ac:dyDescent="0.3">
      <c r="A796">
        <v>725</v>
      </c>
      <c r="B796" s="12">
        <v>3305168.8507445971</v>
      </c>
      <c r="H796">
        <v>725</v>
      </c>
      <c r="I796" s="12">
        <v>5938542.0459997216</v>
      </c>
    </row>
    <row r="797" spans="1:9" ht="15.6" x14ac:dyDescent="0.3">
      <c r="A797">
        <v>726</v>
      </c>
      <c r="B797" s="12">
        <v>3440300.1258476535</v>
      </c>
      <c r="H797">
        <v>726</v>
      </c>
      <c r="I797" s="12">
        <v>6362679.4152344652</v>
      </c>
    </row>
    <row r="798" spans="1:9" ht="15.6" x14ac:dyDescent="0.3">
      <c r="A798">
        <v>727</v>
      </c>
      <c r="B798" s="12">
        <v>3674669.9995308514</v>
      </c>
      <c r="H798">
        <v>727</v>
      </c>
      <c r="I798" s="12">
        <v>6355482.0064785471</v>
      </c>
    </row>
    <row r="799" spans="1:9" ht="15.6" x14ac:dyDescent="0.3">
      <c r="A799">
        <v>728</v>
      </c>
      <c r="B799" s="12">
        <v>3201467.2924482501</v>
      </c>
      <c r="H799">
        <v>728</v>
      </c>
      <c r="I799" s="12">
        <v>6281893.5460547535</v>
      </c>
    </row>
    <row r="800" spans="1:9" ht="15.6" x14ac:dyDescent="0.3">
      <c r="A800">
        <v>729</v>
      </c>
      <c r="B800" s="12">
        <v>3415932.9621801218</v>
      </c>
      <c r="H800">
        <v>729</v>
      </c>
      <c r="I800" s="12">
        <v>6144960.338242257</v>
      </c>
    </row>
    <row r="801" spans="1:9" ht="15.6" x14ac:dyDescent="0.3">
      <c r="A801">
        <v>730</v>
      </c>
      <c r="B801" s="12">
        <v>3483417.5501658022</v>
      </c>
      <c r="H801">
        <v>730</v>
      </c>
      <c r="I801" s="12">
        <v>6542883.3539548079</v>
      </c>
    </row>
    <row r="802" spans="1:9" ht="15.6" x14ac:dyDescent="0.3">
      <c r="A802">
        <v>731</v>
      </c>
      <c r="B802" s="12">
        <v>3296307.061777045</v>
      </c>
      <c r="H802">
        <v>731</v>
      </c>
      <c r="I802" s="12">
        <v>5939898.5296228062</v>
      </c>
    </row>
    <row r="803" spans="1:9" ht="15.6" x14ac:dyDescent="0.3">
      <c r="A803">
        <v>732</v>
      </c>
      <c r="B803" s="12">
        <v>3506016.9100556159</v>
      </c>
      <c r="H803">
        <v>732</v>
      </c>
      <c r="I803" s="12">
        <v>6064719.8642849214</v>
      </c>
    </row>
    <row r="804" spans="1:9" ht="15.6" x14ac:dyDescent="0.3">
      <c r="A804">
        <v>733</v>
      </c>
      <c r="B804" s="12">
        <v>3485611.4166878941</v>
      </c>
      <c r="H804">
        <v>733</v>
      </c>
      <c r="I804" s="12">
        <v>6092699.6787390569</v>
      </c>
    </row>
    <row r="805" spans="1:9" ht="15.6" x14ac:dyDescent="0.3">
      <c r="A805">
        <v>734</v>
      </c>
      <c r="B805" s="12">
        <v>3303122.5604189988</v>
      </c>
      <c r="H805">
        <v>734</v>
      </c>
      <c r="I805" s="12">
        <v>6223496.9747586241</v>
      </c>
    </row>
    <row r="806" spans="1:9" ht="15.6" x14ac:dyDescent="0.3">
      <c r="A806">
        <v>735</v>
      </c>
      <c r="B806" s="12">
        <v>3429498.9626022051</v>
      </c>
      <c r="H806">
        <v>735</v>
      </c>
      <c r="I806" s="12">
        <v>6557217.9624839751</v>
      </c>
    </row>
    <row r="807" spans="1:9" ht="15.6" x14ac:dyDescent="0.3">
      <c r="A807">
        <v>736</v>
      </c>
      <c r="B807" s="12">
        <v>3172337.099617932</v>
      </c>
      <c r="H807">
        <v>736</v>
      </c>
      <c r="I807" s="12">
        <v>6280664.615381103</v>
      </c>
    </row>
    <row r="808" spans="1:9" ht="15.6" x14ac:dyDescent="0.3">
      <c r="A808">
        <v>737</v>
      </c>
      <c r="B808" s="12">
        <v>3629239.0379226594</v>
      </c>
      <c r="H808">
        <v>737</v>
      </c>
      <c r="I808" s="12">
        <v>6325935.8662990285</v>
      </c>
    </row>
    <row r="809" spans="1:9" ht="15.6" x14ac:dyDescent="0.3">
      <c r="A809">
        <v>738</v>
      </c>
      <c r="B809" s="12">
        <v>3626791.7320098486</v>
      </c>
      <c r="H809">
        <v>738</v>
      </c>
      <c r="I809" s="12">
        <v>6092259.0756017836</v>
      </c>
    </row>
    <row r="810" spans="1:9" ht="15.6" x14ac:dyDescent="0.3">
      <c r="A810">
        <v>739</v>
      </c>
      <c r="B810" s="12">
        <v>3309752.1902715256</v>
      </c>
      <c r="H810">
        <v>739</v>
      </c>
      <c r="I810" s="12">
        <v>6431197.3313300926</v>
      </c>
    </row>
    <row r="811" spans="1:9" ht="15.6" x14ac:dyDescent="0.3">
      <c r="A811">
        <v>740</v>
      </c>
      <c r="B811" s="12">
        <v>3498294.0490518915</v>
      </c>
      <c r="H811">
        <v>740</v>
      </c>
      <c r="I811" s="12">
        <v>6027238.7756779296</v>
      </c>
    </row>
    <row r="812" spans="1:9" ht="15.6" x14ac:dyDescent="0.3">
      <c r="A812">
        <v>741</v>
      </c>
      <c r="B812" s="12">
        <v>3206177.978719614</v>
      </c>
      <c r="H812">
        <v>741</v>
      </c>
      <c r="I812" s="12">
        <v>6242777.3613432869</v>
      </c>
    </row>
    <row r="813" spans="1:9" ht="15.6" x14ac:dyDescent="0.3">
      <c r="A813">
        <v>742</v>
      </c>
      <c r="B813" s="12">
        <v>3507796.4202704728</v>
      </c>
      <c r="H813">
        <v>742</v>
      </c>
      <c r="I813" s="12">
        <v>6279726.6669721529</v>
      </c>
    </row>
    <row r="814" spans="1:9" ht="15.6" x14ac:dyDescent="0.3">
      <c r="A814">
        <v>743</v>
      </c>
      <c r="B814" s="12">
        <v>3377676.1508203964</v>
      </c>
      <c r="H814">
        <v>743</v>
      </c>
      <c r="I814" s="12">
        <v>6269104.8889816832</v>
      </c>
    </row>
    <row r="815" spans="1:9" ht="15.6" x14ac:dyDescent="0.3">
      <c r="A815">
        <v>744</v>
      </c>
      <c r="B815" s="12">
        <v>3522940.6152964029</v>
      </c>
      <c r="H815">
        <v>744</v>
      </c>
      <c r="I815" s="12">
        <v>6110222.1120053167</v>
      </c>
    </row>
    <row r="816" spans="1:9" ht="15.6" x14ac:dyDescent="0.3">
      <c r="A816">
        <v>745</v>
      </c>
      <c r="B816" s="12">
        <v>3471669.2165298332</v>
      </c>
      <c r="H816">
        <v>745</v>
      </c>
      <c r="I816" s="12">
        <v>6380207.2846647315</v>
      </c>
    </row>
    <row r="817" spans="1:9" ht="15.6" x14ac:dyDescent="0.3">
      <c r="A817">
        <v>746</v>
      </c>
      <c r="B817" s="12">
        <v>3441889.2476818035</v>
      </c>
      <c r="H817">
        <v>746</v>
      </c>
      <c r="I817" s="12">
        <v>6144120.7613903349</v>
      </c>
    </row>
    <row r="818" spans="1:9" ht="15.6" x14ac:dyDescent="0.3">
      <c r="A818">
        <v>747</v>
      </c>
      <c r="B818" s="12">
        <v>3272581.8226728071</v>
      </c>
      <c r="H818">
        <v>747</v>
      </c>
      <c r="I818" s="12">
        <v>6004829.6150321858</v>
      </c>
    </row>
    <row r="819" spans="1:9" ht="15.6" x14ac:dyDescent="0.3">
      <c r="A819">
        <v>748</v>
      </c>
      <c r="B819" s="12">
        <v>3513644.2196139493</v>
      </c>
      <c r="H819">
        <v>748</v>
      </c>
      <c r="I819" s="12">
        <v>5667798.3574541043</v>
      </c>
    </row>
    <row r="820" spans="1:9" ht="15.6" x14ac:dyDescent="0.3">
      <c r="A820">
        <v>749</v>
      </c>
      <c r="B820" s="12">
        <v>3427046.277732247</v>
      </c>
      <c r="H820">
        <v>749</v>
      </c>
      <c r="I820" s="12">
        <v>6170540.67162342</v>
      </c>
    </row>
    <row r="821" spans="1:9" ht="15.6" x14ac:dyDescent="0.3">
      <c r="A821">
        <v>750</v>
      </c>
      <c r="B821" s="12">
        <v>3438174.7389169619</v>
      </c>
      <c r="H821">
        <v>750</v>
      </c>
      <c r="I821" s="12">
        <v>6155646.4941580286</v>
      </c>
    </row>
    <row r="822" spans="1:9" ht="15.6" x14ac:dyDescent="0.3">
      <c r="A822">
        <v>751</v>
      </c>
      <c r="B822" s="12">
        <v>3485313.4383182288</v>
      </c>
      <c r="H822">
        <v>751</v>
      </c>
      <c r="I822" s="12">
        <v>6150154.9611660568</v>
      </c>
    </row>
    <row r="823" spans="1:9" ht="15.6" x14ac:dyDescent="0.3">
      <c r="A823">
        <v>752</v>
      </c>
      <c r="B823" s="12">
        <v>3468526.3647494498</v>
      </c>
      <c r="H823">
        <v>752</v>
      </c>
      <c r="I823" s="12">
        <v>6247106.5603037765</v>
      </c>
    </row>
    <row r="824" spans="1:9" ht="15.6" x14ac:dyDescent="0.3">
      <c r="A824">
        <v>753</v>
      </c>
      <c r="B824" s="12">
        <v>3847601.7308359663</v>
      </c>
      <c r="H824">
        <v>753</v>
      </c>
      <c r="I824" s="12">
        <v>6066051.557175355</v>
      </c>
    </row>
    <row r="825" spans="1:9" ht="15.6" x14ac:dyDescent="0.3">
      <c r="A825">
        <v>754</v>
      </c>
      <c r="B825" s="12">
        <v>3408150.5145738381</v>
      </c>
      <c r="H825">
        <v>754</v>
      </c>
      <c r="I825" s="12">
        <v>6031696.6779432762</v>
      </c>
    </row>
    <row r="826" spans="1:9" ht="15.6" x14ac:dyDescent="0.3">
      <c r="A826">
        <v>755</v>
      </c>
      <c r="B826" s="12">
        <v>3408162.9360967348</v>
      </c>
      <c r="H826">
        <v>755</v>
      </c>
      <c r="I826" s="12">
        <v>5927838.0561778499</v>
      </c>
    </row>
    <row r="827" spans="1:9" ht="15.6" x14ac:dyDescent="0.3">
      <c r="A827">
        <v>756</v>
      </c>
      <c r="B827" s="12">
        <v>3270229.1720793867</v>
      </c>
      <c r="H827">
        <v>756</v>
      </c>
      <c r="I827" s="12">
        <v>6358878.4139734283</v>
      </c>
    </row>
    <row r="828" spans="1:9" ht="15.6" x14ac:dyDescent="0.3">
      <c r="A828">
        <v>757</v>
      </c>
      <c r="B828" s="12">
        <v>3417628.7955439696</v>
      </c>
      <c r="H828">
        <v>757</v>
      </c>
      <c r="I828" s="12">
        <v>6343000.6008579889</v>
      </c>
    </row>
    <row r="829" spans="1:9" ht="15.6" x14ac:dyDescent="0.3">
      <c r="A829">
        <v>758</v>
      </c>
      <c r="B829" s="12">
        <v>3482350.9820355987</v>
      </c>
      <c r="H829">
        <v>758</v>
      </c>
      <c r="I829" s="12">
        <v>6066619.3460974125</v>
      </c>
    </row>
    <row r="830" spans="1:9" ht="15.6" x14ac:dyDescent="0.3">
      <c r="A830">
        <v>759</v>
      </c>
      <c r="B830" s="12">
        <v>3521256.4008101681</v>
      </c>
      <c r="H830">
        <v>759</v>
      </c>
      <c r="I830" s="12">
        <v>6085459.6795120835</v>
      </c>
    </row>
    <row r="831" spans="1:9" ht="15.6" x14ac:dyDescent="0.3">
      <c r="A831">
        <v>760</v>
      </c>
      <c r="B831" s="12">
        <v>3445428.8864197764</v>
      </c>
      <c r="H831">
        <v>760</v>
      </c>
      <c r="I831" s="12">
        <v>6078182.415560402</v>
      </c>
    </row>
    <row r="832" spans="1:9" ht="15.6" x14ac:dyDescent="0.3">
      <c r="A832">
        <v>761</v>
      </c>
      <c r="B832" s="12">
        <v>3604405.515866207</v>
      </c>
      <c r="H832">
        <v>761</v>
      </c>
      <c r="I832" s="12">
        <v>5639832.2575355601</v>
      </c>
    </row>
    <row r="833" spans="1:9" ht="15.6" x14ac:dyDescent="0.3">
      <c r="A833">
        <v>762</v>
      </c>
      <c r="B833" s="12">
        <v>3527127.6576232756</v>
      </c>
      <c r="H833">
        <v>762</v>
      </c>
      <c r="I833" s="12">
        <v>5827959.6037166324</v>
      </c>
    </row>
    <row r="834" spans="1:9" ht="15.6" x14ac:dyDescent="0.3">
      <c r="A834">
        <v>763</v>
      </c>
      <c r="B834" s="12">
        <v>3414292.3357794541</v>
      </c>
      <c r="H834">
        <v>763</v>
      </c>
      <c r="I834" s="12">
        <v>6295654.5554090552</v>
      </c>
    </row>
    <row r="835" spans="1:9" ht="15.6" x14ac:dyDescent="0.3">
      <c r="A835">
        <v>764</v>
      </c>
      <c r="B835" s="12">
        <v>3445453.6028796677</v>
      </c>
      <c r="H835">
        <v>764</v>
      </c>
      <c r="I835" s="12">
        <v>6129719.7008572882</v>
      </c>
    </row>
    <row r="836" spans="1:9" ht="15.6" x14ac:dyDescent="0.3">
      <c r="A836">
        <v>765</v>
      </c>
      <c r="B836" s="12">
        <v>3088435.1629743357</v>
      </c>
      <c r="H836">
        <v>765</v>
      </c>
      <c r="I836" s="12">
        <v>6489054.3214206547</v>
      </c>
    </row>
    <row r="837" spans="1:9" ht="15.6" x14ac:dyDescent="0.3">
      <c r="A837">
        <v>766</v>
      </c>
      <c r="B837" s="12">
        <v>3631747.1980667301</v>
      </c>
      <c r="H837">
        <v>766</v>
      </c>
      <c r="I837" s="12">
        <v>5885508.1005929373</v>
      </c>
    </row>
    <row r="838" spans="1:9" ht="15.6" x14ac:dyDescent="0.3">
      <c r="A838">
        <v>767</v>
      </c>
      <c r="B838" s="12">
        <v>3435183.5798538942</v>
      </c>
      <c r="H838">
        <v>767</v>
      </c>
      <c r="I838" s="12">
        <v>6409716.8649410857</v>
      </c>
    </row>
    <row r="839" spans="1:9" ht="15.6" x14ac:dyDescent="0.3">
      <c r="A839">
        <v>768</v>
      </c>
      <c r="B839" s="12">
        <v>3412785.210043096</v>
      </c>
      <c r="H839">
        <v>768</v>
      </c>
      <c r="I839" s="12">
        <v>6447339.0093609113</v>
      </c>
    </row>
    <row r="840" spans="1:9" ht="15.6" x14ac:dyDescent="0.3">
      <c r="A840">
        <v>769</v>
      </c>
      <c r="B840" s="12">
        <v>3382635.571452349</v>
      </c>
      <c r="H840">
        <v>769</v>
      </c>
      <c r="I840" s="12">
        <v>6236106.7958520455</v>
      </c>
    </row>
    <row r="841" spans="1:9" ht="15.6" x14ac:dyDescent="0.3">
      <c r="A841">
        <v>770</v>
      </c>
      <c r="B841" s="12">
        <v>3285179.8388271793</v>
      </c>
      <c r="H841">
        <v>770</v>
      </c>
      <c r="I841" s="12">
        <v>5370473.166768061</v>
      </c>
    </row>
    <row r="842" spans="1:9" ht="15.6" x14ac:dyDescent="0.3">
      <c r="A842">
        <v>771</v>
      </c>
      <c r="B842" s="12">
        <v>3407163.1046682317</v>
      </c>
      <c r="H842">
        <v>771</v>
      </c>
      <c r="I842" s="12">
        <v>6276842.8039451884</v>
      </c>
    </row>
    <row r="843" spans="1:9" ht="15.6" x14ac:dyDescent="0.3">
      <c r="A843">
        <v>772</v>
      </c>
      <c r="B843" s="12">
        <v>3331506.8947506747</v>
      </c>
      <c r="H843">
        <v>772</v>
      </c>
      <c r="I843" s="12">
        <v>6418811.8159573497</v>
      </c>
    </row>
    <row r="844" spans="1:9" ht="15.6" x14ac:dyDescent="0.3">
      <c r="A844">
        <v>773</v>
      </c>
      <c r="B844" s="12">
        <v>3682200.2865258548</v>
      </c>
      <c r="H844">
        <v>773</v>
      </c>
      <c r="I844" s="12">
        <v>6511768.2393386252</v>
      </c>
    </row>
    <row r="845" spans="1:9" ht="15.6" x14ac:dyDescent="0.3">
      <c r="A845">
        <v>774</v>
      </c>
      <c r="B845" s="12">
        <v>3539066.6446214798</v>
      </c>
      <c r="H845">
        <v>774</v>
      </c>
      <c r="I845" s="12">
        <v>5948541.8645866476</v>
      </c>
    </row>
    <row r="846" spans="1:9" ht="15.6" x14ac:dyDescent="0.3">
      <c r="A846">
        <v>775</v>
      </c>
      <c r="B846" s="12">
        <v>3515867.387550822</v>
      </c>
      <c r="H846">
        <v>775</v>
      </c>
      <c r="I846" s="12">
        <v>6118606.4575652881</v>
      </c>
    </row>
    <row r="847" spans="1:9" ht="15.6" x14ac:dyDescent="0.3">
      <c r="A847">
        <v>776</v>
      </c>
      <c r="B847" s="12">
        <v>3386746.7728258586</v>
      </c>
      <c r="H847">
        <v>776</v>
      </c>
      <c r="I847" s="12">
        <v>6634113.8879288193</v>
      </c>
    </row>
    <row r="848" spans="1:9" ht="15.6" x14ac:dyDescent="0.3">
      <c r="A848">
        <v>777</v>
      </c>
      <c r="B848" s="12">
        <v>3484936.332589577</v>
      </c>
      <c r="H848">
        <v>777</v>
      </c>
      <c r="I848" s="12">
        <v>5827084.1590634165</v>
      </c>
    </row>
    <row r="849" spans="1:9" ht="15.6" x14ac:dyDescent="0.3">
      <c r="A849">
        <v>778</v>
      </c>
      <c r="B849" s="12">
        <v>3264192.26045187</v>
      </c>
      <c r="H849">
        <v>778</v>
      </c>
      <c r="I849" s="12">
        <v>6115283.6103396947</v>
      </c>
    </row>
    <row r="850" spans="1:9" ht="15.6" x14ac:dyDescent="0.3">
      <c r="A850">
        <v>779</v>
      </c>
      <c r="B850" s="12">
        <v>3490828.2490467457</v>
      </c>
      <c r="H850">
        <v>779</v>
      </c>
      <c r="I850" s="12">
        <v>6257817.5822284222</v>
      </c>
    </row>
    <row r="851" spans="1:9" ht="15.6" x14ac:dyDescent="0.3">
      <c r="A851">
        <v>780</v>
      </c>
      <c r="B851" s="12">
        <v>3214388.174786801</v>
      </c>
      <c r="H851">
        <v>780</v>
      </c>
      <c r="I851" s="12">
        <v>5965255.9153905986</v>
      </c>
    </row>
    <row r="852" spans="1:9" ht="15.6" x14ac:dyDescent="0.3">
      <c r="A852">
        <v>781</v>
      </c>
      <c r="B852" s="12">
        <v>3330815.4748489386</v>
      </c>
      <c r="H852">
        <v>781</v>
      </c>
      <c r="I852" s="12">
        <v>6215236.4005098948</v>
      </c>
    </row>
    <row r="853" spans="1:9" ht="15.6" x14ac:dyDescent="0.3">
      <c r="A853">
        <v>782</v>
      </c>
      <c r="B853" s="12">
        <v>3352757.4020300289</v>
      </c>
      <c r="H853">
        <v>782</v>
      </c>
      <c r="I853" s="12">
        <v>6190818.853308145</v>
      </c>
    </row>
    <row r="854" spans="1:9" ht="15.6" x14ac:dyDescent="0.3">
      <c r="A854">
        <v>783</v>
      </c>
      <c r="B854" s="12">
        <v>3305327.7114723306</v>
      </c>
      <c r="H854">
        <v>783</v>
      </c>
      <c r="I854" s="12">
        <v>6169292.9944639402</v>
      </c>
    </row>
    <row r="855" spans="1:9" ht="15.6" x14ac:dyDescent="0.3">
      <c r="A855">
        <v>784</v>
      </c>
      <c r="B855" s="12">
        <v>3516390.0829459927</v>
      </c>
      <c r="H855">
        <v>784</v>
      </c>
      <c r="I855" s="12">
        <v>5888233.4022724992</v>
      </c>
    </row>
    <row r="856" spans="1:9" ht="15.6" x14ac:dyDescent="0.3">
      <c r="A856">
        <v>785</v>
      </c>
      <c r="B856" s="12">
        <v>3119411.584591975</v>
      </c>
      <c r="H856">
        <v>785</v>
      </c>
      <c r="I856" s="12">
        <v>5978610.7418093374</v>
      </c>
    </row>
    <row r="857" spans="1:9" ht="15.6" x14ac:dyDescent="0.3">
      <c r="A857">
        <v>786</v>
      </c>
      <c r="B857" s="12">
        <v>3442958.8291363888</v>
      </c>
      <c r="H857">
        <v>786</v>
      </c>
      <c r="I857" s="12">
        <v>6116144.6494423989</v>
      </c>
    </row>
    <row r="858" spans="1:9" ht="15.6" x14ac:dyDescent="0.3">
      <c r="A858">
        <v>787</v>
      </c>
      <c r="B858" s="12">
        <v>3187164.0761846751</v>
      </c>
      <c r="H858">
        <v>787</v>
      </c>
      <c r="I858" s="12">
        <v>6315971.3960915618</v>
      </c>
    </row>
    <row r="859" spans="1:9" ht="15.6" x14ac:dyDescent="0.3">
      <c r="A859">
        <v>788</v>
      </c>
      <c r="B859" s="12">
        <v>3607937.5018814071</v>
      </c>
      <c r="H859">
        <v>788</v>
      </c>
      <c r="I859" s="12">
        <v>6035895.116194671</v>
      </c>
    </row>
    <row r="860" spans="1:9" ht="15.6" x14ac:dyDescent="0.3">
      <c r="A860">
        <v>789</v>
      </c>
      <c r="B860" s="12">
        <v>3376891.8002614351</v>
      </c>
      <c r="H860">
        <v>789</v>
      </c>
      <c r="I860" s="12">
        <v>6518035.492634654</v>
      </c>
    </row>
    <row r="861" spans="1:9" ht="15.6" x14ac:dyDescent="0.3">
      <c r="A861">
        <v>790</v>
      </c>
      <c r="B861" s="12">
        <v>3403093.5627202429</v>
      </c>
      <c r="H861">
        <v>790</v>
      </c>
      <c r="I861" s="12">
        <v>6588732.3035383895</v>
      </c>
    </row>
    <row r="862" spans="1:9" ht="15.6" x14ac:dyDescent="0.3">
      <c r="A862">
        <v>791</v>
      </c>
      <c r="B862" s="12">
        <v>3525012.634432042</v>
      </c>
      <c r="H862">
        <v>791</v>
      </c>
      <c r="I862" s="12">
        <v>6362323.4386537112</v>
      </c>
    </row>
    <row r="863" spans="1:9" ht="15.6" x14ac:dyDescent="0.3">
      <c r="A863">
        <v>792</v>
      </c>
      <c r="B863" s="12">
        <v>3363910.2960232603</v>
      </c>
      <c r="H863">
        <v>792</v>
      </c>
      <c r="I863" s="12">
        <v>6384728.8241675487</v>
      </c>
    </row>
    <row r="864" spans="1:9" ht="15.6" x14ac:dyDescent="0.3">
      <c r="A864">
        <v>793</v>
      </c>
      <c r="B864" s="12">
        <v>3354572.0679331333</v>
      </c>
      <c r="H864">
        <v>793</v>
      </c>
      <c r="I864" s="12">
        <v>6277999.0824414426</v>
      </c>
    </row>
    <row r="865" spans="1:9" ht="15.6" x14ac:dyDescent="0.3">
      <c r="A865">
        <v>794</v>
      </c>
      <c r="B865" s="12">
        <v>3400479.7660514787</v>
      </c>
      <c r="H865">
        <v>794</v>
      </c>
      <c r="I865" s="12">
        <v>6253409.8148229551</v>
      </c>
    </row>
    <row r="866" spans="1:9" ht="15.6" x14ac:dyDescent="0.3">
      <c r="A866">
        <v>795</v>
      </c>
      <c r="B866" s="12">
        <v>3311284.9442219506</v>
      </c>
      <c r="H866">
        <v>795</v>
      </c>
      <c r="I866" s="12">
        <v>6048783.3818942709</v>
      </c>
    </row>
    <row r="867" spans="1:9" ht="15.6" x14ac:dyDescent="0.3">
      <c r="A867">
        <v>796</v>
      </c>
      <c r="B867" s="12">
        <v>3363302.3812663881</v>
      </c>
      <c r="H867">
        <v>796</v>
      </c>
      <c r="I867" s="12">
        <v>6209507.8842367548</v>
      </c>
    </row>
    <row r="868" spans="1:9" ht="15.6" x14ac:dyDescent="0.3">
      <c r="A868">
        <v>797</v>
      </c>
      <c r="B868" s="12">
        <v>3605728.2351492168</v>
      </c>
      <c r="H868">
        <v>797</v>
      </c>
      <c r="I868" s="12">
        <v>6136731.9817483537</v>
      </c>
    </row>
    <row r="869" spans="1:9" ht="15.6" x14ac:dyDescent="0.3">
      <c r="A869">
        <v>798</v>
      </c>
      <c r="B869" s="12">
        <v>3515335.3954993635</v>
      </c>
      <c r="H869">
        <v>798</v>
      </c>
      <c r="I869" s="12">
        <v>5957588.1167349825</v>
      </c>
    </row>
    <row r="870" spans="1:9" ht="15.6" x14ac:dyDescent="0.3">
      <c r="A870">
        <v>799</v>
      </c>
      <c r="B870" s="12">
        <v>3299057.7966940654</v>
      </c>
      <c r="H870">
        <v>799</v>
      </c>
      <c r="I870" s="12">
        <v>6340057.0149935773</v>
      </c>
    </row>
    <row r="871" spans="1:9" ht="15.6" x14ac:dyDescent="0.3">
      <c r="A871">
        <v>800</v>
      </c>
      <c r="B871" s="12">
        <v>3493081.9656192502</v>
      </c>
      <c r="H871">
        <v>800</v>
      </c>
      <c r="I871" s="12">
        <v>6139943.4742869539</v>
      </c>
    </row>
    <row r="872" spans="1:9" ht="15.6" x14ac:dyDescent="0.3">
      <c r="A872">
        <v>801</v>
      </c>
      <c r="B872" s="12">
        <v>3095354.9585035173</v>
      </c>
      <c r="H872">
        <v>801</v>
      </c>
      <c r="I872" s="12">
        <v>6370810.5276352577</v>
      </c>
    </row>
    <row r="873" spans="1:9" ht="15.6" x14ac:dyDescent="0.3">
      <c r="A873">
        <v>802</v>
      </c>
      <c r="B873" s="12">
        <v>3507333.1659599794</v>
      </c>
      <c r="H873">
        <v>802</v>
      </c>
      <c r="I873" s="12">
        <v>5967989.8390666256</v>
      </c>
    </row>
    <row r="874" spans="1:9" ht="15.6" x14ac:dyDescent="0.3">
      <c r="A874">
        <v>803</v>
      </c>
      <c r="B874" s="12">
        <v>3492949.7158909128</v>
      </c>
      <c r="H874">
        <v>803</v>
      </c>
      <c r="I874" s="12">
        <v>6294474.090510739</v>
      </c>
    </row>
    <row r="875" spans="1:9" ht="15.6" x14ac:dyDescent="0.3">
      <c r="A875">
        <v>804</v>
      </c>
      <c r="B875" s="12">
        <v>3387848.5456054178</v>
      </c>
      <c r="H875">
        <v>804</v>
      </c>
      <c r="I875" s="12">
        <v>5963215.4948878875</v>
      </c>
    </row>
    <row r="876" spans="1:9" ht="15.6" x14ac:dyDescent="0.3">
      <c r="A876">
        <v>805</v>
      </c>
      <c r="B876" s="12">
        <v>3452566.8431310258</v>
      </c>
      <c r="H876">
        <v>805</v>
      </c>
      <c r="I876" s="12">
        <v>6256647.2126323348</v>
      </c>
    </row>
    <row r="877" spans="1:9" ht="15.6" x14ac:dyDescent="0.3">
      <c r="A877">
        <v>806</v>
      </c>
      <c r="B877" s="12">
        <v>3384403.1820142912</v>
      </c>
      <c r="H877">
        <v>806</v>
      </c>
      <c r="I877" s="12">
        <v>6446382.8395643011</v>
      </c>
    </row>
    <row r="878" spans="1:9" ht="15.6" x14ac:dyDescent="0.3">
      <c r="A878">
        <v>807</v>
      </c>
      <c r="B878" s="12">
        <v>3559545.9939082712</v>
      </c>
      <c r="H878">
        <v>807</v>
      </c>
      <c r="I878" s="12">
        <v>6390612.4912372269</v>
      </c>
    </row>
    <row r="879" spans="1:9" ht="15.6" x14ac:dyDescent="0.3">
      <c r="A879">
        <v>808</v>
      </c>
      <c r="B879" s="12">
        <v>3439037.9406376784</v>
      </c>
      <c r="H879">
        <v>808</v>
      </c>
      <c r="I879" s="12">
        <v>6291068.2038887069</v>
      </c>
    </row>
    <row r="880" spans="1:9" ht="15.6" x14ac:dyDescent="0.3">
      <c r="A880">
        <v>809</v>
      </c>
      <c r="B880" s="12">
        <v>3420742.7041458078</v>
      </c>
      <c r="H880">
        <v>809</v>
      </c>
      <c r="I880" s="12">
        <v>5748297.9165356169</v>
      </c>
    </row>
    <row r="881" spans="1:9" ht="15.6" x14ac:dyDescent="0.3">
      <c r="A881">
        <v>810</v>
      </c>
      <c r="B881" s="12">
        <v>3475799.7909724619</v>
      </c>
      <c r="H881">
        <v>810</v>
      </c>
      <c r="I881" s="12">
        <v>6247660.6698828554</v>
      </c>
    </row>
    <row r="882" spans="1:9" ht="15.6" x14ac:dyDescent="0.3">
      <c r="A882">
        <v>811</v>
      </c>
      <c r="B882" s="12">
        <v>3551639.7225859719</v>
      </c>
      <c r="H882">
        <v>811</v>
      </c>
      <c r="I882" s="12">
        <v>6107176.64794672</v>
      </c>
    </row>
    <row r="883" spans="1:9" ht="15.6" x14ac:dyDescent="0.3">
      <c r="A883">
        <v>812</v>
      </c>
      <c r="B883" s="12">
        <v>3370838.9129547612</v>
      </c>
      <c r="H883">
        <v>812</v>
      </c>
      <c r="I883" s="12">
        <v>6184966.9219321609</v>
      </c>
    </row>
    <row r="884" spans="1:9" ht="15.6" x14ac:dyDescent="0.3">
      <c r="A884">
        <v>813</v>
      </c>
      <c r="B884" s="12">
        <v>3840251.0579037149</v>
      </c>
      <c r="H884">
        <v>813</v>
      </c>
      <c r="I884" s="12">
        <v>5903186.2210324425</v>
      </c>
    </row>
    <row r="885" spans="1:9" ht="15.6" x14ac:dyDescent="0.3">
      <c r="A885">
        <v>814</v>
      </c>
      <c r="B885" s="12">
        <v>3536836.7420872077</v>
      </c>
      <c r="H885">
        <v>814</v>
      </c>
      <c r="I885" s="12">
        <v>6047154.7654358475</v>
      </c>
    </row>
    <row r="886" spans="1:9" ht="15.6" x14ac:dyDescent="0.3">
      <c r="A886">
        <v>815</v>
      </c>
      <c r="B886" s="12">
        <v>3641116.6905788523</v>
      </c>
      <c r="H886">
        <v>815</v>
      </c>
      <c r="I886" s="12">
        <v>5928973.1190537047</v>
      </c>
    </row>
    <row r="887" spans="1:9" ht="15.6" x14ac:dyDescent="0.3">
      <c r="A887">
        <v>816</v>
      </c>
      <c r="B887" s="12">
        <v>3355772.2897899803</v>
      </c>
      <c r="H887">
        <v>816</v>
      </c>
      <c r="I887" s="12">
        <v>6045100.3426163578</v>
      </c>
    </row>
    <row r="888" spans="1:9" ht="15.6" x14ac:dyDescent="0.3">
      <c r="A888">
        <v>817</v>
      </c>
      <c r="B888" s="12">
        <v>3768096.3363421955</v>
      </c>
      <c r="H888">
        <v>817</v>
      </c>
      <c r="I888" s="12">
        <v>6487066.5982215572</v>
      </c>
    </row>
    <row r="889" spans="1:9" ht="15.6" x14ac:dyDescent="0.3">
      <c r="A889">
        <v>818</v>
      </c>
      <c r="B889" s="12">
        <v>3525678.1204905389</v>
      </c>
      <c r="H889">
        <v>818</v>
      </c>
      <c r="I889" s="12">
        <v>6458544.9979748176</v>
      </c>
    </row>
    <row r="890" spans="1:9" ht="15.6" x14ac:dyDescent="0.3">
      <c r="A890">
        <v>819</v>
      </c>
      <c r="B890" s="12">
        <v>3374211.2977130087</v>
      </c>
      <c r="H890">
        <v>819</v>
      </c>
      <c r="I890" s="12">
        <v>6476725.1009561801</v>
      </c>
    </row>
    <row r="891" spans="1:9" ht="15.6" x14ac:dyDescent="0.3">
      <c r="A891">
        <v>820</v>
      </c>
      <c r="B891" s="12">
        <v>3319366.5955348862</v>
      </c>
      <c r="H891">
        <v>820</v>
      </c>
      <c r="I891" s="12">
        <v>6183973.2573198117</v>
      </c>
    </row>
    <row r="892" spans="1:9" ht="15.6" x14ac:dyDescent="0.3">
      <c r="A892">
        <v>821</v>
      </c>
      <c r="B892" s="12">
        <v>3373814.8861902468</v>
      </c>
      <c r="H892">
        <v>821</v>
      </c>
      <c r="I892" s="12">
        <v>5977391.3791005481</v>
      </c>
    </row>
    <row r="893" spans="1:9" ht="15.6" x14ac:dyDescent="0.3">
      <c r="A893">
        <v>822</v>
      </c>
      <c r="B893" s="12">
        <v>3306584.807629291</v>
      </c>
      <c r="H893">
        <v>822</v>
      </c>
      <c r="I893" s="12">
        <v>5818393.8562494284</v>
      </c>
    </row>
    <row r="894" spans="1:9" ht="15.6" x14ac:dyDescent="0.3">
      <c r="A894">
        <v>823</v>
      </c>
      <c r="B894" s="12">
        <v>3359432.288078282</v>
      </c>
      <c r="H894">
        <v>823</v>
      </c>
      <c r="I894" s="12">
        <v>5988526.533210462</v>
      </c>
    </row>
    <row r="895" spans="1:9" ht="15.6" x14ac:dyDescent="0.3">
      <c r="A895">
        <v>824</v>
      </c>
      <c r="B895" s="12">
        <v>3369424.5533068646</v>
      </c>
      <c r="H895">
        <v>824</v>
      </c>
      <c r="I895" s="12">
        <v>6776409.2369643673</v>
      </c>
    </row>
    <row r="896" spans="1:9" ht="15.6" x14ac:dyDescent="0.3">
      <c r="A896">
        <v>825</v>
      </c>
      <c r="B896" s="12">
        <v>3478151.226406673</v>
      </c>
      <c r="H896">
        <v>825</v>
      </c>
      <c r="I896" s="12">
        <v>6332513.2231230121</v>
      </c>
    </row>
    <row r="897" spans="1:9" ht="15.6" x14ac:dyDescent="0.3">
      <c r="A897">
        <v>826</v>
      </c>
      <c r="B897" s="12">
        <v>3748961.0946521894</v>
      </c>
      <c r="H897">
        <v>826</v>
      </c>
      <c r="I897" s="12">
        <v>6592798.2138268743</v>
      </c>
    </row>
    <row r="898" spans="1:9" ht="15.6" x14ac:dyDescent="0.3">
      <c r="A898">
        <v>827</v>
      </c>
      <c r="B898" s="12">
        <v>3533227.4644456636</v>
      </c>
      <c r="H898">
        <v>827</v>
      </c>
      <c r="I898" s="12">
        <v>5723492.3147944901</v>
      </c>
    </row>
    <row r="899" spans="1:9" ht="15.6" x14ac:dyDescent="0.3">
      <c r="A899">
        <v>828</v>
      </c>
      <c r="B899" s="12">
        <v>3614016.6366675361</v>
      </c>
      <c r="H899">
        <v>828</v>
      </c>
      <c r="I899" s="12">
        <v>6156090.8755951794</v>
      </c>
    </row>
    <row r="900" spans="1:9" ht="15.6" x14ac:dyDescent="0.3">
      <c r="A900">
        <v>829</v>
      </c>
      <c r="B900" s="12">
        <v>3224810.8549027052</v>
      </c>
      <c r="H900">
        <v>829</v>
      </c>
      <c r="I900" s="12">
        <v>6162415.9983626716</v>
      </c>
    </row>
    <row r="901" spans="1:9" ht="15.6" x14ac:dyDescent="0.3">
      <c r="A901">
        <v>830</v>
      </c>
      <c r="B901" s="12">
        <v>3427790.3856463451</v>
      </c>
      <c r="H901">
        <v>830</v>
      </c>
      <c r="I901" s="12">
        <v>6148532.4356670678</v>
      </c>
    </row>
    <row r="902" spans="1:9" ht="15.6" x14ac:dyDescent="0.3">
      <c r="A902">
        <v>831</v>
      </c>
      <c r="B902" s="12">
        <v>3446056.4616525029</v>
      </c>
      <c r="H902">
        <v>831</v>
      </c>
      <c r="I902" s="12">
        <v>6190991.781023873</v>
      </c>
    </row>
    <row r="903" spans="1:9" ht="15.6" x14ac:dyDescent="0.3">
      <c r="A903">
        <v>832</v>
      </c>
      <c r="B903" s="12">
        <v>3700677.833086893</v>
      </c>
      <c r="H903">
        <v>832</v>
      </c>
      <c r="I903" s="12">
        <v>5860464.9064662652</v>
      </c>
    </row>
    <row r="904" spans="1:9" ht="15.6" x14ac:dyDescent="0.3">
      <c r="A904">
        <v>833</v>
      </c>
      <c r="B904" s="12">
        <v>3416885.8538155667</v>
      </c>
      <c r="H904">
        <v>833</v>
      </c>
      <c r="I904" s="12">
        <v>5997128.913319719</v>
      </c>
    </row>
    <row r="905" spans="1:9" ht="15.6" x14ac:dyDescent="0.3">
      <c r="A905">
        <v>834</v>
      </c>
      <c r="B905" s="12">
        <v>3469271.1426375005</v>
      </c>
      <c r="H905">
        <v>834</v>
      </c>
      <c r="I905" s="12">
        <v>5885547.4433747437</v>
      </c>
    </row>
    <row r="906" spans="1:9" ht="15.6" x14ac:dyDescent="0.3">
      <c r="A906">
        <v>835</v>
      </c>
      <c r="B906" s="12">
        <v>3450483.778486324</v>
      </c>
      <c r="H906">
        <v>835</v>
      </c>
      <c r="I906" s="12">
        <v>5730312.036457805</v>
      </c>
    </row>
    <row r="907" spans="1:9" ht="15.6" x14ac:dyDescent="0.3">
      <c r="A907">
        <v>836</v>
      </c>
      <c r="B907" s="12">
        <v>3329203.6186049902</v>
      </c>
      <c r="H907">
        <v>836</v>
      </c>
      <c r="I907" s="12">
        <v>6109387.3553045429</v>
      </c>
    </row>
    <row r="908" spans="1:9" ht="15.6" x14ac:dyDescent="0.3">
      <c r="A908">
        <v>837</v>
      </c>
      <c r="B908" s="12">
        <v>3522049.4596199798</v>
      </c>
      <c r="H908">
        <v>837</v>
      </c>
      <c r="I908" s="12">
        <v>5838256.4227735978</v>
      </c>
    </row>
    <row r="909" spans="1:9" ht="15.6" x14ac:dyDescent="0.3">
      <c r="A909">
        <v>838</v>
      </c>
      <c r="B909" s="12">
        <v>3594378.6650089351</v>
      </c>
      <c r="H909">
        <v>838</v>
      </c>
      <c r="I909" s="12">
        <v>6026005.1827524109</v>
      </c>
    </row>
    <row r="910" spans="1:9" ht="15.6" x14ac:dyDescent="0.3">
      <c r="A910">
        <v>839</v>
      </c>
      <c r="B910" s="12">
        <v>3493987.8799412427</v>
      </c>
      <c r="H910">
        <v>839</v>
      </c>
      <c r="I910" s="12">
        <v>5653966.5964069804</v>
      </c>
    </row>
    <row r="911" spans="1:9" ht="15.6" x14ac:dyDescent="0.3">
      <c r="A911">
        <v>840</v>
      </c>
      <c r="B911" s="12">
        <v>3230317.885691999</v>
      </c>
      <c r="H911">
        <v>840</v>
      </c>
      <c r="I911" s="12">
        <v>5848396.1646542344</v>
      </c>
    </row>
    <row r="912" spans="1:9" ht="15.6" x14ac:dyDescent="0.3">
      <c r="A912">
        <v>841</v>
      </c>
      <c r="B912" s="12">
        <v>3607570.1171189845</v>
      </c>
      <c r="H912">
        <v>841</v>
      </c>
      <c r="I912" s="12">
        <v>6316170.5790750915</v>
      </c>
    </row>
    <row r="913" spans="1:9" ht="15.6" x14ac:dyDescent="0.3">
      <c r="A913">
        <v>842</v>
      </c>
      <c r="B913" s="12">
        <v>3435254.750000929</v>
      </c>
      <c r="H913">
        <v>842</v>
      </c>
      <c r="I913" s="12">
        <v>6013179.6439412134</v>
      </c>
    </row>
    <row r="914" spans="1:9" ht="15.6" x14ac:dyDescent="0.3">
      <c r="A914">
        <v>843</v>
      </c>
      <c r="B914" s="12">
        <v>3474614.7300572842</v>
      </c>
      <c r="H914">
        <v>843</v>
      </c>
      <c r="I914" s="12">
        <v>6720434.8175100451</v>
      </c>
    </row>
    <row r="915" spans="1:9" ht="15.6" x14ac:dyDescent="0.3">
      <c r="A915">
        <v>844</v>
      </c>
      <c r="B915" s="12">
        <v>3549602.5525956186</v>
      </c>
      <c r="H915">
        <v>844</v>
      </c>
      <c r="I915" s="12">
        <v>6206160.7518647034</v>
      </c>
    </row>
    <row r="916" spans="1:9" ht="15.6" x14ac:dyDescent="0.3">
      <c r="A916">
        <v>845</v>
      </c>
      <c r="B916" s="12">
        <v>3383778.8836868587</v>
      </c>
      <c r="H916">
        <v>845</v>
      </c>
      <c r="I916" s="12">
        <v>5955747.0912490794</v>
      </c>
    </row>
    <row r="917" spans="1:9" ht="15.6" x14ac:dyDescent="0.3">
      <c r="A917">
        <v>846</v>
      </c>
      <c r="B917" s="12">
        <v>3464826.4219123679</v>
      </c>
      <c r="H917">
        <v>846</v>
      </c>
      <c r="I917" s="12">
        <v>6119413.9923036471</v>
      </c>
    </row>
    <row r="918" spans="1:9" ht="15.6" x14ac:dyDescent="0.3">
      <c r="A918">
        <v>847</v>
      </c>
      <c r="B918" s="12">
        <v>3611040.0892160726</v>
      </c>
      <c r="H918">
        <v>847</v>
      </c>
      <c r="I918" s="12">
        <v>6012570.4876395399</v>
      </c>
    </row>
    <row r="919" spans="1:9" ht="15.6" x14ac:dyDescent="0.3">
      <c r="A919">
        <v>848</v>
      </c>
      <c r="B919" s="12">
        <v>3261281.3664717483</v>
      </c>
      <c r="H919">
        <v>848</v>
      </c>
      <c r="I919" s="12">
        <v>6125557.3669800535</v>
      </c>
    </row>
    <row r="920" spans="1:9" ht="15.6" x14ac:dyDescent="0.3">
      <c r="A920">
        <v>849</v>
      </c>
      <c r="B920" s="12">
        <v>3461808.8797304267</v>
      </c>
      <c r="H920">
        <v>849</v>
      </c>
      <c r="I920" s="12">
        <v>6344061.4202756854</v>
      </c>
    </row>
    <row r="921" spans="1:9" ht="15.6" x14ac:dyDescent="0.3">
      <c r="A921">
        <v>850</v>
      </c>
      <c r="B921" s="12">
        <v>3632527.2865785025</v>
      </c>
      <c r="H921">
        <v>850</v>
      </c>
      <c r="I921" s="12">
        <v>5981031.7426597383</v>
      </c>
    </row>
    <row r="922" spans="1:9" ht="15.6" x14ac:dyDescent="0.3">
      <c r="A922">
        <v>851</v>
      </c>
      <c r="B922" s="12">
        <v>3440977.1189611922</v>
      </c>
      <c r="H922">
        <v>851</v>
      </c>
      <c r="I922" s="12">
        <v>6620263.1932019265</v>
      </c>
    </row>
    <row r="923" spans="1:9" ht="15.6" x14ac:dyDescent="0.3">
      <c r="A923">
        <v>852</v>
      </c>
      <c r="B923" s="12">
        <v>3335593.4624777446</v>
      </c>
      <c r="H923">
        <v>852</v>
      </c>
      <c r="I923" s="12">
        <v>6468413.8305764245</v>
      </c>
    </row>
    <row r="924" spans="1:9" ht="15.6" x14ac:dyDescent="0.3">
      <c r="A924">
        <v>853</v>
      </c>
      <c r="B924" s="12">
        <v>3438708.3440004061</v>
      </c>
      <c r="H924">
        <v>853</v>
      </c>
      <c r="I924" s="12">
        <v>6236837.9784128955</v>
      </c>
    </row>
    <row r="925" spans="1:9" ht="15.6" x14ac:dyDescent="0.3">
      <c r="A925">
        <v>854</v>
      </c>
      <c r="B925" s="12">
        <v>3370952.4389626244</v>
      </c>
      <c r="H925">
        <v>854</v>
      </c>
      <c r="I925" s="12">
        <v>5978830.3480642224</v>
      </c>
    </row>
    <row r="926" spans="1:9" ht="15.6" x14ac:dyDescent="0.3">
      <c r="A926">
        <v>855</v>
      </c>
      <c r="B926" s="12">
        <v>3799356.5307103517</v>
      </c>
      <c r="H926">
        <v>855</v>
      </c>
      <c r="I926" s="12">
        <v>6670380.0104703717</v>
      </c>
    </row>
    <row r="927" spans="1:9" ht="15.6" x14ac:dyDescent="0.3">
      <c r="A927">
        <v>856</v>
      </c>
      <c r="B927" s="12">
        <v>3431004.9824280585</v>
      </c>
      <c r="H927">
        <v>856</v>
      </c>
      <c r="I927" s="12">
        <v>6273755.4153999463</v>
      </c>
    </row>
    <row r="928" spans="1:9" ht="15.6" x14ac:dyDescent="0.3">
      <c r="A928">
        <v>857</v>
      </c>
      <c r="B928" s="12">
        <v>3195195.978179255</v>
      </c>
      <c r="H928">
        <v>857</v>
      </c>
      <c r="I928" s="12">
        <v>6523117.2758813277</v>
      </c>
    </row>
    <row r="929" spans="1:9" ht="15.6" x14ac:dyDescent="0.3">
      <c r="A929">
        <v>858</v>
      </c>
      <c r="B929" s="12">
        <v>3308632.1578929569</v>
      </c>
      <c r="H929">
        <v>858</v>
      </c>
      <c r="I929" s="12">
        <v>6088740.5164215593</v>
      </c>
    </row>
    <row r="930" spans="1:9" ht="15.6" x14ac:dyDescent="0.3">
      <c r="A930">
        <v>859</v>
      </c>
      <c r="B930" s="12">
        <v>3738609.2637982187</v>
      </c>
      <c r="H930">
        <v>859</v>
      </c>
      <c r="I930" s="12">
        <v>6335283.9677591007</v>
      </c>
    </row>
    <row r="931" spans="1:9" ht="15.6" x14ac:dyDescent="0.3">
      <c r="A931">
        <v>860</v>
      </c>
      <c r="B931" s="12">
        <v>3544302.0564712421</v>
      </c>
      <c r="H931">
        <v>860</v>
      </c>
      <c r="I931" s="12">
        <v>6201370.7421536464</v>
      </c>
    </row>
    <row r="932" spans="1:9" ht="15.6" x14ac:dyDescent="0.3">
      <c r="A932">
        <v>861</v>
      </c>
      <c r="B932" s="12">
        <v>3571234.3283496518</v>
      </c>
      <c r="H932">
        <v>861</v>
      </c>
      <c r="I932" s="12">
        <v>6011641.5708451932</v>
      </c>
    </row>
    <row r="933" spans="1:9" ht="15.6" x14ac:dyDescent="0.3">
      <c r="A933">
        <v>862</v>
      </c>
      <c r="B933" s="12">
        <v>3345579.8864804409</v>
      </c>
      <c r="H933">
        <v>862</v>
      </c>
      <c r="I933" s="12">
        <v>6042160.7568120696</v>
      </c>
    </row>
    <row r="934" spans="1:9" ht="15.6" x14ac:dyDescent="0.3">
      <c r="A934">
        <v>863</v>
      </c>
      <c r="B934" s="12">
        <v>3575239.3050549789</v>
      </c>
      <c r="H934">
        <v>863</v>
      </c>
      <c r="I934" s="12">
        <v>5954696.7258183537</v>
      </c>
    </row>
    <row r="935" spans="1:9" ht="15.6" x14ac:dyDescent="0.3">
      <c r="A935">
        <v>864</v>
      </c>
      <c r="B935" s="12">
        <v>3432089.4023657059</v>
      </c>
      <c r="H935">
        <v>864</v>
      </c>
      <c r="I935" s="12">
        <v>6247026.2914153319</v>
      </c>
    </row>
    <row r="936" spans="1:9" ht="15.6" x14ac:dyDescent="0.3">
      <c r="A936">
        <v>865</v>
      </c>
      <c r="B936" s="12">
        <v>3754818.2207758282</v>
      </c>
      <c r="H936">
        <v>865</v>
      </c>
      <c r="I936" s="12">
        <v>6231947.6388094183</v>
      </c>
    </row>
    <row r="937" spans="1:9" ht="15.6" x14ac:dyDescent="0.3">
      <c r="A937">
        <v>866</v>
      </c>
      <c r="B937" s="12">
        <v>3504519.3010099945</v>
      </c>
      <c r="H937">
        <v>866</v>
      </c>
      <c r="I937" s="12">
        <v>5933785.4847119227</v>
      </c>
    </row>
    <row r="938" spans="1:9" ht="15.6" x14ac:dyDescent="0.3">
      <c r="A938">
        <v>867</v>
      </c>
      <c r="B938" s="12">
        <v>3098975.9279518179</v>
      </c>
      <c r="H938">
        <v>867</v>
      </c>
      <c r="I938" s="12">
        <v>6121467.1024980256</v>
      </c>
    </row>
    <row r="939" spans="1:9" ht="15.6" x14ac:dyDescent="0.3">
      <c r="A939">
        <v>868</v>
      </c>
      <c r="B939" s="12">
        <v>3483157.1630345359</v>
      </c>
      <c r="H939">
        <v>868</v>
      </c>
      <c r="I939" s="12">
        <v>6115810.7466645427</v>
      </c>
    </row>
    <row r="940" spans="1:9" ht="15.6" x14ac:dyDescent="0.3">
      <c r="A940">
        <v>869</v>
      </c>
      <c r="B940" s="12">
        <v>3850859.3988065002</v>
      </c>
      <c r="H940">
        <v>869</v>
      </c>
      <c r="I940" s="12">
        <v>6216428.65384732</v>
      </c>
    </row>
    <row r="941" spans="1:9" ht="15.6" x14ac:dyDescent="0.3">
      <c r="A941">
        <v>870</v>
      </c>
      <c r="B941" s="12">
        <v>3640039.3343395335</v>
      </c>
      <c r="H941">
        <v>870</v>
      </c>
      <c r="I941" s="12">
        <v>6187476.8404238559</v>
      </c>
    </row>
    <row r="942" spans="1:9" ht="15.6" x14ac:dyDescent="0.3">
      <c r="A942">
        <v>871</v>
      </c>
      <c r="B942" s="12">
        <v>3138206.6945454888</v>
      </c>
      <c r="H942">
        <v>871</v>
      </c>
      <c r="I942" s="12">
        <v>6009209.6050278731</v>
      </c>
    </row>
    <row r="943" spans="1:9" ht="15.6" x14ac:dyDescent="0.3">
      <c r="A943">
        <v>872</v>
      </c>
      <c r="B943" s="12">
        <v>3460451.7376668705</v>
      </c>
      <c r="H943">
        <v>872</v>
      </c>
      <c r="I943" s="12">
        <v>6424636.9993542405</v>
      </c>
    </row>
    <row r="944" spans="1:9" ht="15.6" x14ac:dyDescent="0.3">
      <c r="A944">
        <v>873</v>
      </c>
      <c r="B944" s="12">
        <v>3470723.1455329154</v>
      </c>
      <c r="H944">
        <v>873</v>
      </c>
      <c r="I944" s="12">
        <v>6160652.1756502679</v>
      </c>
    </row>
    <row r="945" spans="1:9" ht="15.6" x14ac:dyDescent="0.3">
      <c r="A945">
        <v>874</v>
      </c>
      <c r="B945" s="12">
        <v>3428616.962521032</v>
      </c>
      <c r="H945">
        <v>874</v>
      </c>
      <c r="I945" s="12">
        <v>5907422.4342924431</v>
      </c>
    </row>
    <row r="946" spans="1:9" ht="15.6" x14ac:dyDescent="0.3">
      <c r="A946">
        <v>875</v>
      </c>
      <c r="B946" s="12">
        <v>3478095.9142120373</v>
      </c>
      <c r="H946">
        <v>875</v>
      </c>
      <c r="I946" s="12">
        <v>6052181.1073866226</v>
      </c>
    </row>
    <row r="947" spans="1:9" ht="15.6" x14ac:dyDescent="0.3">
      <c r="A947">
        <v>876</v>
      </c>
      <c r="B947" s="12">
        <v>3382172.733878281</v>
      </c>
      <c r="H947">
        <v>876</v>
      </c>
      <c r="I947" s="12">
        <v>6399249.569458806</v>
      </c>
    </row>
    <row r="948" spans="1:9" ht="15.6" x14ac:dyDescent="0.3">
      <c r="A948">
        <v>877</v>
      </c>
      <c r="B948" s="12">
        <v>3592513.551915823</v>
      </c>
      <c r="H948">
        <v>877</v>
      </c>
      <c r="I948" s="12">
        <v>6084377.6306848964</v>
      </c>
    </row>
    <row r="949" spans="1:9" ht="15.6" x14ac:dyDescent="0.3">
      <c r="A949">
        <v>878</v>
      </c>
      <c r="B949" s="12">
        <v>3613640.2830944001</v>
      </c>
      <c r="H949">
        <v>878</v>
      </c>
      <c r="I949" s="12">
        <v>6552323.7355241869</v>
      </c>
    </row>
    <row r="950" spans="1:9" ht="15.6" x14ac:dyDescent="0.3">
      <c r="A950">
        <v>879</v>
      </c>
      <c r="B950" s="12">
        <v>3393155.7950020875</v>
      </c>
      <c r="H950">
        <v>879</v>
      </c>
      <c r="I950" s="12">
        <v>6203486.7086270042</v>
      </c>
    </row>
    <row r="951" spans="1:9" ht="15.6" x14ac:dyDescent="0.3">
      <c r="A951">
        <v>880</v>
      </c>
      <c r="B951" s="12">
        <v>3528328.802309833</v>
      </c>
      <c r="H951">
        <v>880</v>
      </c>
      <c r="I951" s="12">
        <v>6414171.290028003</v>
      </c>
    </row>
    <row r="952" spans="1:9" ht="15.6" x14ac:dyDescent="0.3">
      <c r="A952">
        <v>881</v>
      </c>
      <c r="B952" s="12">
        <v>3472068.9091969482</v>
      </c>
      <c r="H952">
        <v>881</v>
      </c>
      <c r="I952" s="12">
        <v>6009512.0380721213</v>
      </c>
    </row>
    <row r="953" spans="1:9" ht="15.6" x14ac:dyDescent="0.3">
      <c r="A953">
        <v>882</v>
      </c>
      <c r="B953" s="12">
        <v>3756327.6920517199</v>
      </c>
      <c r="H953">
        <v>882</v>
      </c>
      <c r="I953" s="12">
        <v>6240700.349666181</v>
      </c>
    </row>
    <row r="954" spans="1:9" ht="15.6" x14ac:dyDescent="0.3">
      <c r="A954">
        <v>883</v>
      </c>
      <c r="B954" s="12">
        <v>3398487.6137201847</v>
      </c>
      <c r="H954">
        <v>883</v>
      </c>
      <c r="I954" s="12">
        <v>6239906.1927773245</v>
      </c>
    </row>
    <row r="955" spans="1:9" ht="15.6" x14ac:dyDescent="0.3">
      <c r="A955">
        <v>884</v>
      </c>
      <c r="B955" s="12">
        <v>3211220.5249585691</v>
      </c>
      <c r="H955">
        <v>884</v>
      </c>
      <c r="I955" s="12">
        <v>6375662.9058141904</v>
      </c>
    </row>
    <row r="956" spans="1:9" ht="15.6" x14ac:dyDescent="0.3">
      <c r="A956">
        <v>885</v>
      </c>
      <c r="B956" s="12">
        <v>3402543.3643507916</v>
      </c>
      <c r="H956">
        <v>885</v>
      </c>
      <c r="I956" s="12">
        <v>6311868.380594206</v>
      </c>
    </row>
    <row r="957" spans="1:9" ht="15.6" x14ac:dyDescent="0.3">
      <c r="A957">
        <v>886</v>
      </c>
      <c r="B957" s="12">
        <v>3628852.5459578987</v>
      </c>
      <c r="H957">
        <v>886</v>
      </c>
      <c r="I957" s="12">
        <v>6337202.9493170697</v>
      </c>
    </row>
    <row r="958" spans="1:9" ht="15.6" x14ac:dyDescent="0.3">
      <c r="A958">
        <v>887</v>
      </c>
      <c r="B958" s="12">
        <v>3804581.7606159276</v>
      </c>
      <c r="H958">
        <v>887</v>
      </c>
      <c r="I958" s="12">
        <v>6445213.1830973141</v>
      </c>
    </row>
    <row r="959" spans="1:9" ht="15.6" x14ac:dyDescent="0.3">
      <c r="A959">
        <v>888</v>
      </c>
      <c r="B959" s="12">
        <v>3400244.3818654181</v>
      </c>
      <c r="H959">
        <v>888</v>
      </c>
      <c r="I959" s="12">
        <v>5944097.886702437</v>
      </c>
    </row>
    <row r="960" spans="1:9" ht="15.6" x14ac:dyDescent="0.3">
      <c r="A960">
        <v>889</v>
      </c>
      <c r="B960" s="12">
        <v>3470605.267238935</v>
      </c>
      <c r="H960">
        <v>889</v>
      </c>
      <c r="I960" s="12">
        <v>6330109.3581160596</v>
      </c>
    </row>
    <row r="961" spans="1:9" ht="15.6" x14ac:dyDescent="0.3">
      <c r="A961">
        <v>890</v>
      </c>
      <c r="B961" s="12">
        <v>3651024.5329423766</v>
      </c>
      <c r="H961">
        <v>890</v>
      </c>
      <c r="I961" s="12">
        <v>5675377.5202700049</v>
      </c>
    </row>
    <row r="962" spans="1:9" ht="15.6" x14ac:dyDescent="0.3">
      <c r="A962">
        <v>891</v>
      </c>
      <c r="B962" s="12">
        <v>3432724.5829876009</v>
      </c>
      <c r="H962">
        <v>891</v>
      </c>
      <c r="I962" s="12">
        <v>6071316.1796439895</v>
      </c>
    </row>
    <row r="963" spans="1:9" ht="15.6" x14ac:dyDescent="0.3">
      <c r="A963">
        <v>892</v>
      </c>
      <c r="B963" s="12">
        <v>3337004.9797531567</v>
      </c>
      <c r="H963">
        <v>892</v>
      </c>
      <c r="I963" s="12">
        <v>5911067.5559442108</v>
      </c>
    </row>
    <row r="964" spans="1:9" ht="15.6" x14ac:dyDescent="0.3">
      <c r="A964">
        <v>893</v>
      </c>
      <c r="B964" s="12">
        <v>3483276.1988388915</v>
      </c>
      <c r="H964">
        <v>893</v>
      </c>
      <c r="I964" s="12">
        <v>6266328.0616999511</v>
      </c>
    </row>
    <row r="965" spans="1:9" ht="15.6" x14ac:dyDescent="0.3">
      <c r="A965">
        <v>894</v>
      </c>
      <c r="B965" s="12">
        <v>3552773.7741785985</v>
      </c>
      <c r="H965">
        <v>894</v>
      </c>
      <c r="I965" s="12">
        <v>6123929.1754359528</v>
      </c>
    </row>
    <row r="966" spans="1:9" ht="15.6" x14ac:dyDescent="0.3">
      <c r="A966">
        <v>895</v>
      </c>
      <c r="B966" s="12">
        <v>3700205.0672620409</v>
      </c>
      <c r="H966">
        <v>895</v>
      </c>
      <c r="I966" s="12">
        <v>5903408.3639117721</v>
      </c>
    </row>
    <row r="967" spans="1:9" ht="15.6" x14ac:dyDescent="0.3">
      <c r="A967">
        <v>896</v>
      </c>
      <c r="B967" s="12">
        <v>3566477.7533851024</v>
      </c>
      <c r="H967">
        <v>896</v>
      </c>
      <c r="I967" s="12">
        <v>6500616.2984402897</v>
      </c>
    </row>
    <row r="968" spans="1:9" ht="15.6" x14ac:dyDescent="0.3">
      <c r="A968">
        <v>897</v>
      </c>
      <c r="B968" s="12">
        <v>3671080.8757107356</v>
      </c>
      <c r="H968">
        <v>897</v>
      </c>
      <c r="I968" s="12">
        <v>5922862.4972086288</v>
      </c>
    </row>
    <row r="969" spans="1:9" ht="15.6" x14ac:dyDescent="0.3">
      <c r="A969">
        <v>898</v>
      </c>
      <c r="B969" s="12">
        <v>3506920.5608311077</v>
      </c>
      <c r="H969">
        <v>898</v>
      </c>
      <c r="I969" s="12">
        <v>6185201.0239814511</v>
      </c>
    </row>
    <row r="970" spans="1:9" ht="15.6" x14ac:dyDescent="0.3">
      <c r="A970">
        <v>899</v>
      </c>
      <c r="B970" s="12">
        <v>3192154.1130334893</v>
      </c>
      <c r="H970">
        <v>899</v>
      </c>
      <c r="I970" s="12">
        <v>6188397.3520081928</v>
      </c>
    </row>
    <row r="971" spans="1:9" ht="15.6" x14ac:dyDescent="0.3">
      <c r="A971">
        <v>900</v>
      </c>
      <c r="B971" s="12">
        <v>3628768.943975341</v>
      </c>
      <c r="H971">
        <v>900</v>
      </c>
      <c r="I971" s="12">
        <v>5948194.775894356</v>
      </c>
    </row>
    <row r="972" spans="1:9" ht="15.6" x14ac:dyDescent="0.3">
      <c r="A972">
        <v>901</v>
      </c>
      <c r="B972" s="12">
        <v>3321720.5299597112</v>
      </c>
      <c r="H972">
        <v>901</v>
      </c>
      <c r="I972" s="12">
        <v>5529885.1525385026</v>
      </c>
    </row>
    <row r="973" spans="1:9" ht="15.6" x14ac:dyDescent="0.3">
      <c r="A973">
        <v>902</v>
      </c>
      <c r="B973" s="12">
        <v>3310680.0345154624</v>
      </c>
      <c r="H973">
        <v>902</v>
      </c>
      <c r="I973" s="12">
        <v>6072073.6089623151</v>
      </c>
    </row>
    <row r="974" spans="1:9" ht="15.6" x14ac:dyDescent="0.3">
      <c r="A974">
        <v>903</v>
      </c>
      <c r="B974" s="12">
        <v>3556327.263135694</v>
      </c>
      <c r="H974">
        <v>903</v>
      </c>
      <c r="I974" s="12">
        <v>6461765.9574039634</v>
      </c>
    </row>
    <row r="975" spans="1:9" ht="15.6" x14ac:dyDescent="0.3">
      <c r="A975">
        <v>904</v>
      </c>
      <c r="B975" s="12">
        <v>3409516.0819181027</v>
      </c>
      <c r="H975">
        <v>904</v>
      </c>
      <c r="I975" s="12">
        <v>6208102.1591855753</v>
      </c>
    </row>
    <row r="976" spans="1:9" ht="15.6" x14ac:dyDescent="0.3">
      <c r="A976">
        <v>905</v>
      </c>
      <c r="B976" s="12">
        <v>3375177.3985725571</v>
      </c>
      <c r="H976">
        <v>905</v>
      </c>
      <c r="I976" s="12">
        <v>6512353.6378394337</v>
      </c>
    </row>
    <row r="977" spans="1:9" ht="15.6" x14ac:dyDescent="0.3">
      <c r="A977">
        <v>906</v>
      </c>
      <c r="B977" s="12">
        <v>3240106.3949087407</v>
      </c>
      <c r="H977">
        <v>906</v>
      </c>
      <c r="I977" s="12">
        <v>6221602.3629154721</v>
      </c>
    </row>
    <row r="978" spans="1:9" ht="15.6" x14ac:dyDescent="0.3">
      <c r="A978">
        <v>907</v>
      </c>
      <c r="B978" s="12">
        <v>3273271.8594085807</v>
      </c>
      <c r="H978">
        <v>907</v>
      </c>
      <c r="I978" s="12">
        <v>6465790.5939616058</v>
      </c>
    </row>
    <row r="979" spans="1:9" ht="15.6" x14ac:dyDescent="0.3">
      <c r="A979">
        <v>908</v>
      </c>
      <c r="B979" s="12">
        <v>3106554.0585243017</v>
      </c>
      <c r="H979">
        <v>908</v>
      </c>
      <c r="I979" s="12">
        <v>6649778.4373125043</v>
      </c>
    </row>
    <row r="980" spans="1:9" ht="15.6" x14ac:dyDescent="0.3">
      <c r="A980">
        <v>909</v>
      </c>
      <c r="B980" s="12">
        <v>3552950.0836378518</v>
      </c>
      <c r="H980">
        <v>909</v>
      </c>
      <c r="I980" s="12">
        <v>6686780.4287536275</v>
      </c>
    </row>
    <row r="981" spans="1:9" ht="15.6" x14ac:dyDescent="0.3">
      <c r="A981">
        <v>910</v>
      </c>
      <c r="B981" s="12">
        <v>3450196.8634049227</v>
      </c>
      <c r="H981">
        <v>910</v>
      </c>
      <c r="I981" s="12">
        <v>6366260.3640530445</v>
      </c>
    </row>
    <row r="982" spans="1:9" ht="15.6" x14ac:dyDescent="0.3">
      <c r="A982">
        <v>911</v>
      </c>
      <c r="B982" s="12">
        <v>3367673.4046347425</v>
      </c>
      <c r="H982">
        <v>911</v>
      </c>
      <c r="I982" s="12">
        <v>6077407.5045153219</v>
      </c>
    </row>
    <row r="983" spans="1:9" ht="15.6" x14ac:dyDescent="0.3">
      <c r="A983">
        <v>912</v>
      </c>
      <c r="B983" s="12">
        <v>3488285.384491032</v>
      </c>
      <c r="H983">
        <v>912</v>
      </c>
      <c r="I983" s="12">
        <v>6240088.34409816</v>
      </c>
    </row>
    <row r="984" spans="1:9" ht="15.6" x14ac:dyDescent="0.3">
      <c r="A984">
        <v>913</v>
      </c>
      <c r="B984" s="12">
        <v>3423038.3020462478</v>
      </c>
      <c r="H984">
        <v>913</v>
      </c>
      <c r="I984" s="12">
        <v>5903396.4095292455</v>
      </c>
    </row>
    <row r="985" spans="1:9" ht="15.6" x14ac:dyDescent="0.3">
      <c r="A985">
        <v>914</v>
      </c>
      <c r="B985" s="12">
        <v>3240443.655603366</v>
      </c>
      <c r="H985">
        <v>914</v>
      </c>
      <c r="I985" s="12">
        <v>5979061.3426534524</v>
      </c>
    </row>
    <row r="986" spans="1:9" ht="15.6" x14ac:dyDescent="0.3">
      <c r="A986">
        <v>915</v>
      </c>
      <c r="B986" s="12">
        <v>3415251.331256663</v>
      </c>
      <c r="H986">
        <v>915</v>
      </c>
      <c r="I986" s="12">
        <v>6654890.5867657168</v>
      </c>
    </row>
    <row r="987" spans="1:9" ht="15.6" x14ac:dyDescent="0.3">
      <c r="A987">
        <v>916</v>
      </c>
      <c r="B987" s="12">
        <v>3541040.1155026476</v>
      </c>
      <c r="H987">
        <v>916</v>
      </c>
      <c r="I987" s="12">
        <v>5888764.8448074404</v>
      </c>
    </row>
    <row r="988" spans="1:9" ht="15.6" x14ac:dyDescent="0.3">
      <c r="A988">
        <v>917</v>
      </c>
      <c r="B988" s="12">
        <v>3711533.6268764762</v>
      </c>
      <c r="H988">
        <v>917</v>
      </c>
      <c r="I988" s="12">
        <v>6471154.2505886173</v>
      </c>
    </row>
    <row r="989" spans="1:9" ht="15.6" x14ac:dyDescent="0.3">
      <c r="A989">
        <v>918</v>
      </c>
      <c r="B989" s="12">
        <v>3302422.9067053692</v>
      </c>
      <c r="H989">
        <v>918</v>
      </c>
      <c r="I989" s="12">
        <v>6360959.1867102701</v>
      </c>
    </row>
    <row r="990" spans="1:9" ht="15.6" x14ac:dyDescent="0.3">
      <c r="A990">
        <v>919</v>
      </c>
      <c r="B990" s="12">
        <v>3649240.8128681798</v>
      </c>
      <c r="H990">
        <v>919</v>
      </c>
      <c r="I990" s="12">
        <v>6483212.444839864</v>
      </c>
    </row>
    <row r="991" spans="1:9" ht="15.6" x14ac:dyDescent="0.3">
      <c r="A991">
        <v>920</v>
      </c>
      <c r="B991" s="12">
        <v>3205723.7957640551</v>
      </c>
      <c r="H991">
        <v>920</v>
      </c>
      <c r="I991" s="12">
        <v>6165595.807652751</v>
      </c>
    </row>
    <row r="992" spans="1:9" ht="15.6" x14ac:dyDescent="0.3">
      <c r="A992">
        <v>921</v>
      </c>
      <c r="B992" s="12">
        <v>3414280.3068781253</v>
      </c>
      <c r="H992">
        <v>921</v>
      </c>
      <c r="I992" s="12">
        <v>6086477.7596563399</v>
      </c>
    </row>
    <row r="993" spans="1:9" ht="15.6" x14ac:dyDescent="0.3">
      <c r="A993">
        <v>922</v>
      </c>
      <c r="B993" s="12">
        <v>3261668.5814747699</v>
      </c>
      <c r="H993">
        <v>922</v>
      </c>
      <c r="I993" s="12">
        <v>6335721.0207566526</v>
      </c>
    </row>
    <row r="994" spans="1:9" ht="15.6" x14ac:dyDescent="0.3">
      <c r="A994">
        <v>923</v>
      </c>
      <c r="B994" s="12">
        <v>3352750.0899107894</v>
      </c>
      <c r="H994">
        <v>923</v>
      </c>
      <c r="I994" s="12">
        <v>6166386.4852492204</v>
      </c>
    </row>
    <row r="995" spans="1:9" ht="15.6" x14ac:dyDescent="0.3">
      <c r="A995">
        <v>924</v>
      </c>
      <c r="B995" s="12">
        <v>3360006.3637916916</v>
      </c>
      <c r="H995">
        <v>924</v>
      </c>
      <c r="I995" s="12">
        <v>6306654.9315449195</v>
      </c>
    </row>
    <row r="996" spans="1:9" ht="15.6" x14ac:dyDescent="0.3">
      <c r="A996">
        <v>925</v>
      </c>
      <c r="B996" s="12">
        <v>3560708.0582457301</v>
      </c>
      <c r="H996">
        <v>925</v>
      </c>
      <c r="I996" s="12">
        <v>6387313.1920975158</v>
      </c>
    </row>
    <row r="997" spans="1:9" ht="15.6" x14ac:dyDescent="0.3">
      <c r="A997">
        <v>926</v>
      </c>
      <c r="B997" s="12">
        <v>3274661.0743392557</v>
      </c>
      <c r="H997">
        <v>926</v>
      </c>
      <c r="I997" s="12">
        <v>6047619.5226042615</v>
      </c>
    </row>
    <row r="998" spans="1:9" ht="15.6" x14ac:dyDescent="0.3">
      <c r="A998">
        <v>927</v>
      </c>
      <c r="B998" s="12">
        <v>3668004.928914567</v>
      </c>
      <c r="H998">
        <v>927</v>
      </c>
      <c r="I998" s="12">
        <v>6276518.2465604004</v>
      </c>
    </row>
    <row r="999" spans="1:9" ht="15.6" x14ac:dyDescent="0.3">
      <c r="A999">
        <v>928</v>
      </c>
      <c r="B999" s="12">
        <v>3410672.3210300035</v>
      </c>
      <c r="H999">
        <v>928</v>
      </c>
      <c r="I999" s="12">
        <v>5729559.800245014</v>
      </c>
    </row>
    <row r="1000" spans="1:9" ht="15.6" x14ac:dyDescent="0.3">
      <c r="A1000">
        <v>929</v>
      </c>
      <c r="B1000" s="12">
        <v>3377400.4144159006</v>
      </c>
      <c r="H1000">
        <v>929</v>
      </c>
      <c r="I1000" s="12">
        <v>6253928.1554291826</v>
      </c>
    </row>
    <row r="1001" spans="1:9" ht="15.6" x14ac:dyDescent="0.3">
      <c r="A1001">
        <v>930</v>
      </c>
      <c r="B1001" s="12">
        <v>3432417.6390756122</v>
      </c>
      <c r="H1001">
        <v>930</v>
      </c>
      <c r="I1001" s="12">
        <v>6089562.1099761361</v>
      </c>
    </row>
    <row r="1002" spans="1:9" ht="15.6" x14ac:dyDescent="0.3">
      <c r="A1002">
        <v>931</v>
      </c>
      <c r="B1002" s="12">
        <v>3461835.8934377879</v>
      </c>
      <c r="H1002">
        <v>931</v>
      </c>
      <c r="I1002" s="12">
        <v>5957301.4998546382</v>
      </c>
    </row>
    <row r="1003" spans="1:9" ht="15.6" x14ac:dyDescent="0.3">
      <c r="A1003">
        <v>932</v>
      </c>
      <c r="B1003" s="12">
        <v>3537502.8717032471</v>
      </c>
      <c r="H1003">
        <v>932</v>
      </c>
      <c r="I1003" s="12">
        <v>6566541.9011415131</v>
      </c>
    </row>
    <row r="1004" spans="1:9" ht="15.6" x14ac:dyDescent="0.3">
      <c r="A1004">
        <v>933</v>
      </c>
      <c r="B1004" s="12">
        <v>3682201.7365000923</v>
      </c>
      <c r="H1004">
        <v>933</v>
      </c>
      <c r="I1004" s="12">
        <v>5924709.2849420235</v>
      </c>
    </row>
    <row r="1005" spans="1:9" ht="15.6" x14ac:dyDescent="0.3">
      <c r="A1005">
        <v>934</v>
      </c>
      <c r="B1005" s="12">
        <v>3481661.6615768219</v>
      </c>
      <c r="H1005">
        <v>934</v>
      </c>
      <c r="I1005" s="12">
        <v>6028710.405174626</v>
      </c>
    </row>
    <row r="1006" spans="1:9" ht="15.6" x14ac:dyDescent="0.3">
      <c r="A1006">
        <v>935</v>
      </c>
      <c r="B1006" s="12">
        <v>3453988.0434463806</v>
      </c>
      <c r="H1006">
        <v>935</v>
      </c>
      <c r="I1006" s="12">
        <v>5944170.2360152891</v>
      </c>
    </row>
    <row r="1007" spans="1:9" ht="15.6" x14ac:dyDescent="0.3">
      <c r="A1007">
        <v>936</v>
      </c>
      <c r="B1007" s="12">
        <v>3381928.9910327224</v>
      </c>
      <c r="H1007">
        <v>936</v>
      </c>
      <c r="I1007" s="12">
        <v>6100847.8104939349</v>
      </c>
    </row>
    <row r="1008" spans="1:9" ht="15.6" x14ac:dyDescent="0.3">
      <c r="A1008">
        <v>937</v>
      </c>
      <c r="B1008" s="12">
        <v>3497585.9114592588</v>
      </c>
      <c r="H1008">
        <v>937</v>
      </c>
      <c r="I1008" s="12">
        <v>5886703.4991412256</v>
      </c>
    </row>
    <row r="1009" spans="1:9" ht="15.6" x14ac:dyDescent="0.3">
      <c r="A1009">
        <v>938</v>
      </c>
      <c r="B1009" s="12">
        <v>3459977.512002321</v>
      </c>
      <c r="H1009">
        <v>938</v>
      </c>
      <c r="I1009" s="12">
        <v>6123548.5998071143</v>
      </c>
    </row>
    <row r="1010" spans="1:9" ht="15.6" x14ac:dyDescent="0.3">
      <c r="A1010">
        <v>939</v>
      </c>
      <c r="B1010" s="12">
        <v>3175054.3818099434</v>
      </c>
      <c r="H1010">
        <v>939</v>
      </c>
      <c r="I1010" s="12">
        <v>5854530.4404353835</v>
      </c>
    </row>
    <row r="1011" spans="1:9" ht="15.6" x14ac:dyDescent="0.3">
      <c r="A1011">
        <v>940</v>
      </c>
      <c r="B1011" s="12">
        <v>3509430.253721837</v>
      </c>
      <c r="H1011">
        <v>940</v>
      </c>
      <c r="I1011" s="12">
        <v>6263511.1045846678</v>
      </c>
    </row>
    <row r="1012" spans="1:9" ht="15.6" x14ac:dyDescent="0.3">
      <c r="A1012">
        <v>941</v>
      </c>
      <c r="B1012" s="12">
        <v>3236323.0813558926</v>
      </c>
      <c r="H1012">
        <v>941</v>
      </c>
      <c r="I1012" s="12">
        <v>6460323.3571694707</v>
      </c>
    </row>
    <row r="1013" spans="1:9" ht="15.6" x14ac:dyDescent="0.3">
      <c r="A1013">
        <v>942</v>
      </c>
      <c r="B1013" s="12">
        <v>3489897.3899255502</v>
      </c>
      <c r="H1013">
        <v>942</v>
      </c>
      <c r="I1013" s="12">
        <v>5924482.491151222</v>
      </c>
    </row>
    <row r="1014" spans="1:9" ht="15.6" x14ac:dyDescent="0.3">
      <c r="A1014">
        <v>943</v>
      </c>
      <c r="B1014" s="12">
        <v>3471327.6734066382</v>
      </c>
      <c r="H1014">
        <v>943</v>
      </c>
      <c r="I1014" s="12">
        <v>6033700.1186780958</v>
      </c>
    </row>
    <row r="1015" spans="1:9" ht="15.6" x14ac:dyDescent="0.3">
      <c r="A1015">
        <v>944</v>
      </c>
      <c r="B1015" s="12">
        <v>3797226.2851628414</v>
      </c>
      <c r="H1015">
        <v>944</v>
      </c>
      <c r="I1015" s="12">
        <v>6185218.4681191752</v>
      </c>
    </row>
    <row r="1016" spans="1:9" ht="15.6" x14ac:dyDescent="0.3">
      <c r="A1016">
        <v>945</v>
      </c>
      <c r="B1016" s="12">
        <v>3365783.0102966405</v>
      </c>
      <c r="H1016">
        <v>945</v>
      </c>
      <c r="I1016" s="12">
        <v>5921567.5539119216</v>
      </c>
    </row>
    <row r="1017" spans="1:9" ht="15.6" x14ac:dyDescent="0.3">
      <c r="A1017">
        <v>946</v>
      </c>
      <c r="B1017" s="12">
        <v>3521218.7733692802</v>
      </c>
      <c r="H1017">
        <v>946</v>
      </c>
      <c r="I1017" s="12">
        <v>5966341.6086477013</v>
      </c>
    </row>
    <row r="1018" spans="1:9" ht="15.6" x14ac:dyDescent="0.3">
      <c r="A1018">
        <v>947</v>
      </c>
      <c r="B1018" s="12">
        <v>3286563.3550917353</v>
      </c>
      <c r="H1018">
        <v>947</v>
      </c>
      <c r="I1018" s="12">
        <v>6068217.9907222716</v>
      </c>
    </row>
    <row r="1019" spans="1:9" ht="15.6" x14ac:dyDescent="0.3">
      <c r="A1019">
        <v>948</v>
      </c>
      <c r="B1019" s="12">
        <v>3492873.3596255095</v>
      </c>
      <c r="H1019">
        <v>948</v>
      </c>
      <c r="I1019" s="12">
        <v>5915094.755172221</v>
      </c>
    </row>
    <row r="1020" spans="1:9" ht="15.6" x14ac:dyDescent="0.3">
      <c r="A1020">
        <v>949</v>
      </c>
      <c r="B1020" s="12">
        <v>3532362.3775332379</v>
      </c>
      <c r="H1020">
        <v>949</v>
      </c>
      <c r="I1020" s="12">
        <v>6550757.3343248107</v>
      </c>
    </row>
    <row r="1021" spans="1:9" ht="15.6" x14ac:dyDescent="0.3">
      <c r="A1021">
        <v>950</v>
      </c>
      <c r="B1021" s="12">
        <v>3578030.1991928173</v>
      </c>
      <c r="H1021">
        <v>950</v>
      </c>
      <c r="I1021" s="12">
        <v>6276293.7061503958</v>
      </c>
    </row>
    <row r="1022" spans="1:9" ht="15.6" x14ac:dyDescent="0.3">
      <c r="A1022">
        <v>951</v>
      </c>
      <c r="B1022" s="12">
        <v>3344826.6701530879</v>
      </c>
      <c r="H1022">
        <v>951</v>
      </c>
      <c r="I1022" s="12">
        <v>6113510.9745479245</v>
      </c>
    </row>
    <row r="1023" spans="1:9" ht="15.6" x14ac:dyDescent="0.3">
      <c r="A1023">
        <v>952</v>
      </c>
      <c r="B1023" s="12">
        <v>3276512.1576015563</v>
      </c>
      <c r="H1023">
        <v>952</v>
      </c>
      <c r="I1023" s="12">
        <v>5948584.087730675</v>
      </c>
    </row>
    <row r="1024" spans="1:9" ht="15.6" x14ac:dyDescent="0.3">
      <c r="A1024">
        <v>953</v>
      </c>
      <c r="B1024" s="12">
        <v>3342012.1167046954</v>
      </c>
      <c r="H1024">
        <v>953</v>
      </c>
      <c r="I1024" s="12">
        <v>5965356.6507707117</v>
      </c>
    </row>
    <row r="1025" spans="1:9" ht="15.6" x14ac:dyDescent="0.3">
      <c r="A1025">
        <v>954</v>
      </c>
      <c r="B1025" s="12">
        <v>3338611.8053369988</v>
      </c>
      <c r="H1025">
        <v>954</v>
      </c>
      <c r="I1025" s="12">
        <v>6312635.5994065935</v>
      </c>
    </row>
    <row r="1026" spans="1:9" ht="15.6" x14ac:dyDescent="0.3">
      <c r="A1026">
        <v>955</v>
      </c>
      <c r="B1026" s="12">
        <v>3309482.7803742792</v>
      </c>
      <c r="H1026">
        <v>955</v>
      </c>
      <c r="I1026" s="12">
        <v>5940504.4649863793</v>
      </c>
    </row>
    <row r="1027" spans="1:9" ht="15.6" x14ac:dyDescent="0.3">
      <c r="A1027">
        <v>956</v>
      </c>
      <c r="B1027" s="12">
        <v>3558093.7589866808</v>
      </c>
      <c r="H1027">
        <v>956</v>
      </c>
      <c r="I1027" s="12">
        <v>5662331.7623378001</v>
      </c>
    </row>
    <row r="1028" spans="1:9" ht="15.6" x14ac:dyDescent="0.3">
      <c r="A1028">
        <v>957</v>
      </c>
      <c r="B1028" s="12">
        <v>3578977.7119835746</v>
      </c>
      <c r="H1028">
        <v>957</v>
      </c>
      <c r="I1028" s="12">
        <v>5896962.7038275814</v>
      </c>
    </row>
    <row r="1029" spans="1:9" ht="15.6" x14ac:dyDescent="0.3">
      <c r="A1029">
        <v>958</v>
      </c>
      <c r="B1029" s="12">
        <v>3438309.6003464824</v>
      </c>
      <c r="H1029">
        <v>958</v>
      </c>
      <c r="I1029" s="12">
        <v>6039825.9023588644</v>
      </c>
    </row>
    <row r="1030" spans="1:9" ht="15.6" x14ac:dyDescent="0.3">
      <c r="A1030">
        <v>959</v>
      </c>
      <c r="B1030" s="12">
        <v>3373599.7462392086</v>
      </c>
      <c r="H1030">
        <v>959</v>
      </c>
      <c r="I1030" s="12">
        <v>6481584.5773017565</v>
      </c>
    </row>
    <row r="1031" spans="1:9" ht="15.6" x14ac:dyDescent="0.3">
      <c r="A1031">
        <v>960</v>
      </c>
      <c r="B1031" s="12">
        <v>3293372.3455956155</v>
      </c>
      <c r="H1031">
        <v>960</v>
      </c>
      <c r="I1031" s="12">
        <v>6678210.2605497213</v>
      </c>
    </row>
    <row r="1032" spans="1:9" ht="15.6" x14ac:dyDescent="0.3">
      <c r="A1032">
        <v>961</v>
      </c>
      <c r="B1032" s="12">
        <v>3541151.1459719911</v>
      </c>
      <c r="H1032">
        <v>961</v>
      </c>
      <c r="I1032" s="12">
        <v>6083984.3957619658</v>
      </c>
    </row>
    <row r="1033" spans="1:9" ht="15.6" x14ac:dyDescent="0.3">
      <c r="A1033">
        <v>962</v>
      </c>
      <c r="B1033" s="12">
        <v>3403132.916882365</v>
      </c>
      <c r="H1033">
        <v>962</v>
      </c>
      <c r="I1033" s="12">
        <v>5907853.2547832644</v>
      </c>
    </row>
    <row r="1034" spans="1:9" ht="15.6" x14ac:dyDescent="0.3">
      <c r="A1034">
        <v>963</v>
      </c>
      <c r="B1034" s="12">
        <v>3473833.8712824197</v>
      </c>
      <c r="H1034">
        <v>963</v>
      </c>
      <c r="I1034" s="12">
        <v>6473106.0720381299</v>
      </c>
    </row>
    <row r="1035" spans="1:9" ht="15.6" x14ac:dyDescent="0.3">
      <c r="A1035">
        <v>964</v>
      </c>
      <c r="B1035" s="12">
        <v>3380127.3488696339</v>
      </c>
      <c r="H1035">
        <v>964</v>
      </c>
      <c r="I1035" s="12">
        <v>5911810.0596698904</v>
      </c>
    </row>
    <row r="1036" spans="1:9" ht="15.6" x14ac:dyDescent="0.3">
      <c r="A1036">
        <v>965</v>
      </c>
      <c r="B1036" s="12">
        <v>3296281.3797371127</v>
      </c>
      <c r="H1036">
        <v>965</v>
      </c>
      <c r="I1036" s="12">
        <v>5852422.0783748934</v>
      </c>
    </row>
    <row r="1037" spans="1:9" ht="15.6" x14ac:dyDescent="0.3">
      <c r="A1037">
        <v>966</v>
      </c>
      <c r="B1037" s="12">
        <v>3335652.3475206769</v>
      </c>
      <c r="H1037">
        <v>966</v>
      </c>
      <c r="I1037" s="12">
        <v>6152006.9021154195</v>
      </c>
    </row>
    <row r="1038" spans="1:9" ht="15.6" x14ac:dyDescent="0.3">
      <c r="A1038">
        <v>967</v>
      </c>
      <c r="B1038" s="12">
        <v>3495845.3223323976</v>
      </c>
      <c r="H1038">
        <v>967</v>
      </c>
      <c r="I1038" s="12">
        <v>6136304.2147853766</v>
      </c>
    </row>
    <row r="1039" spans="1:9" ht="15.6" x14ac:dyDescent="0.3">
      <c r="A1039">
        <v>968</v>
      </c>
      <c r="B1039" s="12">
        <v>3627263.7665348258</v>
      </c>
      <c r="H1039">
        <v>968</v>
      </c>
      <c r="I1039" s="12">
        <v>5727929.4360263022</v>
      </c>
    </row>
    <row r="1040" spans="1:9" ht="15.6" x14ac:dyDescent="0.3">
      <c r="A1040">
        <v>969</v>
      </c>
      <c r="B1040" s="12">
        <v>3348987.4363311073</v>
      </c>
      <c r="H1040">
        <v>969</v>
      </c>
      <c r="I1040" s="12">
        <v>5694174.408543176</v>
      </c>
    </row>
    <row r="1041" spans="1:9" ht="15.6" x14ac:dyDescent="0.3">
      <c r="A1041">
        <v>970</v>
      </c>
      <c r="B1041" s="12">
        <v>3467241.5783041487</v>
      </c>
      <c r="H1041">
        <v>970</v>
      </c>
      <c r="I1041" s="12">
        <v>5814582.6550164949</v>
      </c>
    </row>
    <row r="1042" spans="1:9" ht="15.6" x14ac:dyDescent="0.3">
      <c r="A1042">
        <v>971</v>
      </c>
      <c r="B1042" s="12">
        <v>3541164.3039158694</v>
      </c>
      <c r="H1042">
        <v>971</v>
      </c>
      <c r="I1042" s="12">
        <v>6198156.1784266997</v>
      </c>
    </row>
    <row r="1043" spans="1:9" ht="15.6" x14ac:dyDescent="0.3">
      <c r="A1043">
        <v>972</v>
      </c>
      <c r="B1043" s="12">
        <v>3551274.4436587803</v>
      </c>
      <c r="H1043">
        <v>972</v>
      </c>
      <c r="I1043" s="12">
        <v>6536300.6075972049</v>
      </c>
    </row>
    <row r="1044" spans="1:9" ht="15.6" x14ac:dyDescent="0.3">
      <c r="A1044">
        <v>973</v>
      </c>
      <c r="B1044" s="12">
        <v>3265271.2429688303</v>
      </c>
      <c r="H1044">
        <v>973</v>
      </c>
      <c r="I1044" s="12">
        <v>6027898.004507618</v>
      </c>
    </row>
    <row r="1045" spans="1:9" ht="15.6" x14ac:dyDescent="0.3">
      <c r="A1045">
        <v>974</v>
      </c>
      <c r="B1045" s="12">
        <v>3576838.5511456067</v>
      </c>
      <c r="H1045">
        <v>974</v>
      </c>
      <c r="I1045" s="12">
        <v>5801636.2785910973</v>
      </c>
    </row>
    <row r="1046" spans="1:9" ht="15.6" x14ac:dyDescent="0.3">
      <c r="A1046">
        <v>975</v>
      </c>
      <c r="B1046" s="12">
        <v>3391815.121246357</v>
      </c>
      <c r="H1046">
        <v>975</v>
      </c>
      <c r="I1046" s="12">
        <v>6050485.0107004466</v>
      </c>
    </row>
    <row r="1047" spans="1:9" ht="15.6" x14ac:dyDescent="0.3">
      <c r="A1047">
        <v>976</v>
      </c>
      <c r="B1047" s="12">
        <v>3394307.4518579808</v>
      </c>
      <c r="H1047">
        <v>976</v>
      </c>
      <c r="I1047" s="12">
        <v>5966553.4565174663</v>
      </c>
    </row>
    <row r="1048" spans="1:9" ht="15.6" x14ac:dyDescent="0.3">
      <c r="A1048">
        <v>977</v>
      </c>
      <c r="B1048" s="12">
        <v>3337618.3234848217</v>
      </c>
      <c r="H1048">
        <v>977</v>
      </c>
      <c r="I1048" s="12">
        <v>5866137.7956716688</v>
      </c>
    </row>
    <row r="1049" spans="1:9" ht="15.6" x14ac:dyDescent="0.3">
      <c r="A1049">
        <v>978</v>
      </c>
      <c r="B1049" s="12">
        <v>3275585.1768189725</v>
      </c>
      <c r="H1049">
        <v>978</v>
      </c>
      <c r="I1049" s="12">
        <v>6201975.7631596019</v>
      </c>
    </row>
    <row r="1050" spans="1:9" ht="15.6" x14ac:dyDescent="0.3">
      <c r="A1050">
        <v>979</v>
      </c>
      <c r="B1050" s="12">
        <v>3181406.4160403707</v>
      </c>
      <c r="H1050">
        <v>979</v>
      </c>
      <c r="I1050" s="12">
        <v>5861368.8706641523</v>
      </c>
    </row>
    <row r="1051" spans="1:9" ht="15.6" x14ac:dyDescent="0.3">
      <c r="A1051">
        <v>980</v>
      </c>
      <c r="B1051" s="12">
        <v>3360078.2807402974</v>
      </c>
      <c r="H1051">
        <v>980</v>
      </c>
      <c r="I1051" s="12">
        <v>6354272.8263062825</v>
      </c>
    </row>
    <row r="1052" spans="1:9" ht="15.6" x14ac:dyDescent="0.3">
      <c r="A1052">
        <v>981</v>
      </c>
      <c r="B1052" s="12">
        <v>3412927.1331782206</v>
      </c>
      <c r="H1052">
        <v>981</v>
      </c>
      <c r="I1052" s="12">
        <v>5956910.994709868</v>
      </c>
    </row>
    <row r="1053" spans="1:9" ht="15.6" x14ac:dyDescent="0.3">
      <c r="A1053">
        <v>982</v>
      </c>
      <c r="B1053" s="12">
        <v>3589473.1398582305</v>
      </c>
      <c r="H1053">
        <v>982</v>
      </c>
      <c r="I1053" s="12">
        <v>6051911.3744337922</v>
      </c>
    </row>
    <row r="1054" spans="1:9" ht="15.6" x14ac:dyDescent="0.3">
      <c r="A1054">
        <v>983</v>
      </c>
      <c r="B1054" s="12">
        <v>3325826.8364655375</v>
      </c>
      <c r="H1054">
        <v>983</v>
      </c>
      <c r="I1054" s="12">
        <v>6057199.2559686862</v>
      </c>
    </row>
    <row r="1055" spans="1:9" ht="15.6" x14ac:dyDescent="0.3">
      <c r="A1055">
        <v>984</v>
      </c>
      <c r="B1055" s="12">
        <v>3494146.9937753733</v>
      </c>
      <c r="H1055">
        <v>984</v>
      </c>
      <c r="I1055" s="12">
        <v>6511310.8109082934</v>
      </c>
    </row>
    <row r="1056" spans="1:9" ht="15.6" x14ac:dyDescent="0.3">
      <c r="A1056">
        <v>985</v>
      </c>
      <c r="B1056" s="12">
        <v>3423730.4633784699</v>
      </c>
      <c r="H1056">
        <v>985</v>
      </c>
      <c r="I1056" s="12">
        <v>6426356.0367860394</v>
      </c>
    </row>
    <row r="1057" spans="1:9" ht="15.6" x14ac:dyDescent="0.3">
      <c r="A1057">
        <v>986</v>
      </c>
      <c r="B1057" s="12">
        <v>3392653.7528332854</v>
      </c>
      <c r="H1057">
        <v>986</v>
      </c>
      <c r="I1057" s="12">
        <v>6572662.393597316</v>
      </c>
    </row>
    <row r="1058" spans="1:9" ht="15.6" x14ac:dyDescent="0.3">
      <c r="A1058">
        <v>987</v>
      </c>
      <c r="B1058" s="12">
        <v>3406001.3670485555</v>
      </c>
      <c r="H1058">
        <v>987</v>
      </c>
      <c r="I1058" s="12">
        <v>6138038.7183396192</v>
      </c>
    </row>
    <row r="1059" spans="1:9" ht="15.6" x14ac:dyDescent="0.3">
      <c r="A1059">
        <v>988</v>
      </c>
      <c r="B1059" s="12">
        <v>3609046.3876392981</v>
      </c>
      <c r="H1059">
        <v>988</v>
      </c>
      <c r="I1059" s="12">
        <v>6324398.0795798898</v>
      </c>
    </row>
    <row r="1060" spans="1:9" ht="15.6" x14ac:dyDescent="0.3">
      <c r="A1060">
        <v>989</v>
      </c>
      <c r="B1060" s="12">
        <v>3674216.5010174871</v>
      </c>
      <c r="H1060">
        <v>989</v>
      </c>
      <c r="I1060" s="12">
        <v>6511202.5243936302</v>
      </c>
    </row>
    <row r="1061" spans="1:9" ht="15.6" x14ac:dyDescent="0.3">
      <c r="A1061">
        <v>990</v>
      </c>
      <c r="B1061" s="12">
        <v>3113486.4077013722</v>
      </c>
      <c r="H1061">
        <v>990</v>
      </c>
      <c r="I1061" s="12">
        <v>5753391.8159828354</v>
      </c>
    </row>
    <row r="1062" spans="1:9" ht="15.6" x14ac:dyDescent="0.3">
      <c r="A1062">
        <v>991</v>
      </c>
      <c r="B1062" s="12">
        <v>3434232.5271156328</v>
      </c>
      <c r="H1062">
        <v>991</v>
      </c>
      <c r="I1062" s="12">
        <v>6341867.7332754098</v>
      </c>
    </row>
    <row r="1063" spans="1:9" ht="15.6" x14ac:dyDescent="0.3">
      <c r="A1063">
        <v>992</v>
      </c>
      <c r="B1063" s="12">
        <v>3562012.0064832917</v>
      </c>
      <c r="H1063">
        <v>992</v>
      </c>
      <c r="I1063" s="12">
        <v>6173270.4818949392</v>
      </c>
    </row>
    <row r="1064" spans="1:9" ht="15.6" x14ac:dyDescent="0.3">
      <c r="A1064">
        <v>993</v>
      </c>
      <c r="B1064" s="12">
        <v>3237541.7542314739</v>
      </c>
      <c r="H1064">
        <v>993</v>
      </c>
      <c r="I1064" s="12">
        <v>6722102.9238677863</v>
      </c>
    </row>
    <row r="1065" spans="1:9" ht="15.6" x14ac:dyDescent="0.3">
      <c r="A1065">
        <v>994</v>
      </c>
      <c r="B1065" s="12">
        <v>3454369.0674023386</v>
      </c>
      <c r="H1065">
        <v>994</v>
      </c>
      <c r="I1065" s="12">
        <v>6156341.1309665767</v>
      </c>
    </row>
    <row r="1066" spans="1:9" ht="15.6" x14ac:dyDescent="0.3">
      <c r="A1066">
        <v>995</v>
      </c>
      <c r="B1066" s="12">
        <v>3648287.9228405114</v>
      </c>
      <c r="H1066">
        <v>995</v>
      </c>
      <c r="I1066" s="12">
        <v>6342442.9019370154</v>
      </c>
    </row>
    <row r="1067" spans="1:9" ht="15.6" x14ac:dyDescent="0.3">
      <c r="A1067">
        <v>996</v>
      </c>
      <c r="B1067" s="12">
        <v>3446788.6442067567</v>
      </c>
      <c r="H1067">
        <v>996</v>
      </c>
      <c r="I1067" s="12">
        <v>6038364.657105173</v>
      </c>
    </row>
    <row r="1068" spans="1:9" ht="15.6" x14ac:dyDescent="0.3">
      <c r="A1068">
        <v>997</v>
      </c>
      <c r="B1068" s="12">
        <v>3235517.3609360494</v>
      </c>
      <c r="H1068">
        <v>997</v>
      </c>
      <c r="I1068" s="12">
        <v>6158771.6408474604</v>
      </c>
    </row>
    <row r="1069" spans="1:9" ht="15.6" x14ac:dyDescent="0.3">
      <c r="A1069">
        <v>998</v>
      </c>
      <c r="B1069" s="12">
        <v>3359429.4500995199</v>
      </c>
      <c r="H1069">
        <v>998</v>
      </c>
      <c r="I1069" s="12">
        <v>6471126.3122433517</v>
      </c>
    </row>
    <row r="1070" spans="1:9" ht="15.6" x14ac:dyDescent="0.3">
      <c r="A1070">
        <v>999</v>
      </c>
      <c r="B1070" s="12">
        <v>3611251.4611683949</v>
      </c>
      <c r="H1070">
        <v>999</v>
      </c>
      <c r="I1070" s="12">
        <v>5659237.6101310495</v>
      </c>
    </row>
    <row r="1071" spans="1:9" ht="15.6" x14ac:dyDescent="0.3">
      <c r="A1071">
        <v>1000</v>
      </c>
      <c r="B1071" s="12">
        <v>3481020.0082080499</v>
      </c>
      <c r="H1071">
        <v>1000</v>
      </c>
      <c r="I1071" s="12">
        <v>6476624.5444646282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1EDDD5-1144-4980-B58A-2334C8109AA6}">
  <dimension ref="A1:K1001"/>
  <sheetViews>
    <sheetView topLeftCell="A192" zoomScale="62" workbookViewId="0">
      <selection activeCell="I3" sqref="I3"/>
    </sheetView>
  </sheetViews>
  <sheetFormatPr baseColWidth="10" defaultColWidth="8.796875" defaultRowHeight="15.6" x14ac:dyDescent="0.3"/>
  <cols>
    <col min="2" max="2" width="10.5" bestFit="1" customWidth="1"/>
    <col min="4" max="4" width="32.69921875" customWidth="1"/>
    <col min="5" max="5" width="31.19921875" customWidth="1"/>
    <col min="6" max="6" width="12.69921875" customWidth="1"/>
    <col min="8" max="8" width="13.69921875" customWidth="1"/>
    <col min="9" max="9" width="12" bestFit="1" customWidth="1"/>
    <col min="10" max="10" width="28" bestFit="1" customWidth="1"/>
    <col min="11" max="11" width="30.296875" customWidth="1"/>
    <col min="12" max="12" width="27.5" bestFit="1" customWidth="1"/>
    <col min="13" max="13" width="29.5" bestFit="1" customWidth="1"/>
  </cols>
  <sheetData>
    <row r="1" spans="1:11" x14ac:dyDescent="0.3">
      <c r="A1" s="106" t="s">
        <v>106</v>
      </c>
      <c r="B1" s="107" t="s">
        <v>107</v>
      </c>
      <c r="C1" s="9"/>
      <c r="D1" s="201" t="s">
        <v>107</v>
      </c>
      <c r="E1" s="198"/>
      <c r="G1" s="106" t="s">
        <v>106</v>
      </c>
      <c r="H1" s="176" t="s">
        <v>90</v>
      </c>
      <c r="J1" s="200" t="s">
        <v>90</v>
      </c>
      <c r="K1" s="199"/>
    </row>
    <row r="2" spans="1:11" x14ac:dyDescent="0.3">
      <c r="A2" s="54">
        <v>1</v>
      </c>
      <c r="B2" s="12">
        <v>3429188.849238927</v>
      </c>
      <c r="D2" s="87"/>
      <c r="G2" s="54">
        <v>1</v>
      </c>
      <c r="H2" s="94">
        <v>5816184.1358823497</v>
      </c>
      <c r="J2" s="87"/>
    </row>
    <row r="3" spans="1:11" x14ac:dyDescent="0.3">
      <c r="A3" s="54">
        <v>2</v>
      </c>
      <c r="B3" s="12">
        <v>3474428.234571259</v>
      </c>
      <c r="D3" s="167" t="s">
        <v>14</v>
      </c>
      <c r="E3" s="202">
        <v>3443477.5809939886</v>
      </c>
      <c r="G3" s="54">
        <v>2</v>
      </c>
      <c r="H3" s="94">
        <v>5829058.2208540104</v>
      </c>
      <c r="J3" s="167" t="s">
        <v>14</v>
      </c>
      <c r="K3" s="202">
        <v>5865450.4942269819</v>
      </c>
    </row>
    <row r="4" spans="1:11" x14ac:dyDescent="0.3">
      <c r="A4" s="54">
        <v>3</v>
      </c>
      <c r="B4" s="12">
        <v>3503677.7649463699</v>
      </c>
      <c r="D4" s="168" t="s">
        <v>18</v>
      </c>
      <c r="E4" s="203">
        <v>4881.8374842148623</v>
      </c>
      <c r="G4" s="54">
        <v>3</v>
      </c>
      <c r="H4" s="94">
        <v>5825821.8303589402</v>
      </c>
      <c r="J4" s="168" t="s">
        <v>18</v>
      </c>
      <c r="K4" s="203">
        <v>2131.6672789850422</v>
      </c>
    </row>
    <row r="5" spans="1:11" x14ac:dyDescent="0.3">
      <c r="A5" s="54">
        <v>4</v>
      </c>
      <c r="B5" s="12">
        <v>3576756.9085371275</v>
      </c>
      <c r="D5" s="168" t="s">
        <v>22</v>
      </c>
      <c r="E5" s="203">
        <v>3439394.7556588743</v>
      </c>
      <c r="G5" s="54">
        <v>4</v>
      </c>
      <c r="H5" s="94">
        <v>5908073.6441237917</v>
      </c>
      <c r="J5" s="168" t="s">
        <v>22</v>
      </c>
      <c r="K5" s="203">
        <v>5867295.4684344726</v>
      </c>
    </row>
    <row r="6" spans="1:11" x14ac:dyDescent="0.3">
      <c r="A6" s="54">
        <v>5</v>
      </c>
      <c r="B6" s="12">
        <v>3505702.8819502876</v>
      </c>
      <c r="D6" s="168" t="s">
        <v>25</v>
      </c>
      <c r="E6" s="203" t="e">
        <v>#N/A</v>
      </c>
      <c r="G6" s="54">
        <v>5</v>
      </c>
      <c r="H6" s="94">
        <v>5686810.9040104542</v>
      </c>
      <c r="J6" s="168" t="s">
        <v>25</v>
      </c>
      <c r="K6" s="203" t="e">
        <v>#N/A</v>
      </c>
    </row>
    <row r="7" spans="1:11" x14ac:dyDescent="0.3">
      <c r="A7" s="54">
        <v>6</v>
      </c>
      <c r="B7" s="12">
        <v>3249867.1678147069</v>
      </c>
      <c r="D7" s="168" t="s">
        <v>30</v>
      </c>
      <c r="E7" s="203">
        <v>154377.25616905262</v>
      </c>
      <c r="G7" s="54">
        <v>6</v>
      </c>
      <c r="H7" s="94">
        <v>5938624.0513312817</v>
      </c>
      <c r="J7" s="168" t="s">
        <v>30</v>
      </c>
      <c r="K7" s="203">
        <v>67409.238152463149</v>
      </c>
    </row>
    <row r="8" spans="1:11" x14ac:dyDescent="0.3">
      <c r="A8" s="54">
        <v>7</v>
      </c>
      <c r="B8" s="12">
        <v>3752309.2392351171</v>
      </c>
      <c r="D8" s="168" t="s">
        <v>33</v>
      </c>
      <c r="E8" s="203">
        <v>23832337222.285297</v>
      </c>
      <c r="G8" s="54">
        <v>7</v>
      </c>
      <c r="H8" s="94">
        <v>5872518.8477074048</v>
      </c>
      <c r="J8" s="168" t="s">
        <v>33</v>
      </c>
      <c r="K8" s="203">
        <v>4544005388.2954931</v>
      </c>
    </row>
    <row r="9" spans="1:11" x14ac:dyDescent="0.3">
      <c r="A9" s="54">
        <v>8</v>
      </c>
      <c r="B9" s="12">
        <v>3471952.3063754151</v>
      </c>
      <c r="D9" s="168" t="s">
        <v>36</v>
      </c>
      <c r="E9" s="203">
        <v>-2.2198427426744161E-2</v>
      </c>
      <c r="G9" s="54">
        <v>8</v>
      </c>
      <c r="H9" s="94">
        <v>5974386.1911253314</v>
      </c>
      <c r="J9" s="168" t="s">
        <v>36</v>
      </c>
      <c r="K9" s="203">
        <v>-4.0744833481968001E-2</v>
      </c>
    </row>
    <row r="10" spans="1:11" x14ac:dyDescent="0.3">
      <c r="A10" s="54">
        <v>9</v>
      </c>
      <c r="B10" s="12">
        <v>3460865.3397436831</v>
      </c>
      <c r="D10" s="168" t="s">
        <v>39</v>
      </c>
      <c r="E10" s="203">
        <v>7.9276624447863417E-2</v>
      </c>
      <c r="G10" s="54">
        <v>9</v>
      </c>
      <c r="H10" s="94">
        <v>5887922.3871184262</v>
      </c>
      <c r="J10" s="168" t="s">
        <v>39</v>
      </c>
      <c r="K10" s="203">
        <v>3.1951977329642375E-2</v>
      </c>
    </row>
    <row r="11" spans="1:11" x14ac:dyDescent="0.3">
      <c r="A11" s="54">
        <v>10</v>
      </c>
      <c r="B11" s="12">
        <v>3545149.6565872109</v>
      </c>
      <c r="D11" s="168" t="s">
        <v>43</v>
      </c>
      <c r="E11" s="203">
        <v>963291.64286341099</v>
      </c>
      <c r="G11" s="54">
        <v>10</v>
      </c>
      <c r="H11" s="94">
        <v>5944346.4448351422</v>
      </c>
      <c r="J11" s="168" t="s">
        <v>43</v>
      </c>
      <c r="K11" s="203">
        <v>441727.96653846558</v>
      </c>
    </row>
    <row r="12" spans="1:11" x14ac:dyDescent="0.3">
      <c r="A12" s="54">
        <v>11</v>
      </c>
      <c r="B12" s="12">
        <v>3338509.8412446231</v>
      </c>
      <c r="D12" s="168" t="s">
        <v>46</v>
      </c>
      <c r="E12" s="204">
        <v>2965141.0728197801</v>
      </c>
      <c r="G12" s="54">
        <v>11</v>
      </c>
      <c r="H12" s="94">
        <v>5770248.1298558367</v>
      </c>
      <c r="J12" s="168" t="s">
        <v>46</v>
      </c>
      <c r="K12" s="204">
        <v>5653495.9737158753</v>
      </c>
    </row>
    <row r="13" spans="1:11" x14ac:dyDescent="0.3">
      <c r="A13" s="54">
        <v>12</v>
      </c>
      <c r="B13" s="12">
        <v>3172363.519117116</v>
      </c>
      <c r="D13" s="168" t="s">
        <v>50</v>
      </c>
      <c r="E13" s="205">
        <v>3928432.7156831911</v>
      </c>
      <c r="G13" s="54">
        <v>12</v>
      </c>
      <c r="H13" s="94">
        <v>5884814.8259264957</v>
      </c>
      <c r="J13" s="168" t="s">
        <v>50</v>
      </c>
      <c r="K13" s="205">
        <v>6095223.9402543409</v>
      </c>
    </row>
    <row r="14" spans="1:11" x14ac:dyDescent="0.3">
      <c r="A14" s="54">
        <v>13</v>
      </c>
      <c r="B14" s="12">
        <v>3389873.973575531</v>
      </c>
      <c r="D14" s="168" t="s">
        <v>54</v>
      </c>
      <c r="E14" s="206">
        <v>3443477580.9939885</v>
      </c>
      <c r="G14" s="54">
        <v>13</v>
      </c>
      <c r="H14" s="94">
        <v>5851148.0946578402</v>
      </c>
      <c r="J14" s="168" t="s">
        <v>54</v>
      </c>
      <c r="K14" s="203">
        <v>5865450494.2269821</v>
      </c>
    </row>
    <row r="15" spans="1:11" x14ac:dyDescent="0.3">
      <c r="A15" s="54">
        <v>14</v>
      </c>
      <c r="B15" s="12">
        <v>3432720.6963433269</v>
      </c>
      <c r="D15" s="168" t="s">
        <v>58</v>
      </c>
      <c r="E15" s="203">
        <v>1000</v>
      </c>
      <c r="G15" s="54">
        <v>14</v>
      </c>
      <c r="H15" s="94">
        <v>5953043.4416342406</v>
      </c>
      <c r="J15" s="168" t="s">
        <v>58</v>
      </c>
      <c r="K15" s="203">
        <v>1000</v>
      </c>
    </row>
    <row r="16" spans="1:11" x14ac:dyDescent="0.3">
      <c r="A16" s="54">
        <v>15</v>
      </c>
      <c r="B16" s="12">
        <v>3568182.4300764445</v>
      </c>
      <c r="D16" s="169" t="s">
        <v>62</v>
      </c>
      <c r="E16" s="207">
        <v>9579.8321017902999</v>
      </c>
      <c r="G16" s="54">
        <v>15</v>
      </c>
      <c r="H16" s="94">
        <v>5833168.0291523226</v>
      </c>
      <c r="J16" s="169" t="s">
        <v>62</v>
      </c>
      <c r="K16" s="207">
        <v>4183.0590828939003</v>
      </c>
    </row>
    <row r="17" spans="1:11" x14ac:dyDescent="0.3">
      <c r="A17" s="54">
        <v>16</v>
      </c>
      <c r="B17" s="12">
        <v>3546576.6372546656</v>
      </c>
      <c r="G17" s="54">
        <v>16</v>
      </c>
      <c r="H17" s="94">
        <v>5851866.9774278412</v>
      </c>
    </row>
    <row r="18" spans="1:11" x14ac:dyDescent="0.3">
      <c r="A18" s="54">
        <v>17</v>
      </c>
      <c r="B18" s="12">
        <v>3536054.7909944979</v>
      </c>
      <c r="G18" s="54">
        <v>17</v>
      </c>
      <c r="H18" s="94">
        <v>5822679.9116859855</v>
      </c>
    </row>
    <row r="19" spans="1:11" x14ac:dyDescent="0.3">
      <c r="A19" s="54">
        <v>18</v>
      </c>
      <c r="B19" s="12">
        <v>3215118.3664513635</v>
      </c>
      <c r="G19" s="54">
        <v>18</v>
      </c>
      <c r="H19" s="94">
        <v>5854519.4780652123</v>
      </c>
    </row>
    <row r="20" spans="1:11" x14ac:dyDescent="0.3">
      <c r="A20" s="54">
        <v>19</v>
      </c>
      <c r="B20" s="12">
        <v>3276166.2095038542</v>
      </c>
      <c r="D20" s="112" t="s">
        <v>108</v>
      </c>
      <c r="E20" s="113" t="s">
        <v>109</v>
      </c>
      <c r="G20" s="54">
        <v>19</v>
      </c>
      <c r="H20" s="94">
        <v>5890662.4036220303</v>
      </c>
      <c r="J20" s="116" t="s">
        <v>108</v>
      </c>
      <c r="K20" s="112" t="s">
        <v>109</v>
      </c>
    </row>
    <row r="21" spans="1:11" x14ac:dyDescent="0.3">
      <c r="A21" s="54">
        <v>20</v>
      </c>
      <c r="B21" s="12">
        <v>3408535.2082502306</v>
      </c>
      <c r="D21" s="189">
        <f>E13</f>
        <v>3928432.7156831911</v>
      </c>
      <c r="E21" s="190">
        <f>E12</f>
        <v>2965141.0728197801</v>
      </c>
      <c r="G21" s="54">
        <v>20</v>
      </c>
      <c r="H21" s="94">
        <v>5894612.1953198174</v>
      </c>
      <c r="J21" s="194">
        <f>K13</f>
        <v>6095223.9402543409</v>
      </c>
      <c r="K21" s="193">
        <f>K12</f>
        <v>5653495.9737158753</v>
      </c>
    </row>
    <row r="22" spans="1:11" x14ac:dyDescent="0.3">
      <c r="A22" s="54">
        <v>21</v>
      </c>
      <c r="B22" s="12">
        <v>3500243.2093565697</v>
      </c>
      <c r="D22" s="114" t="s">
        <v>110</v>
      </c>
      <c r="E22" s="115" t="str">
        <f>D22</f>
        <v>Start investment</v>
      </c>
      <c r="G22" s="54">
        <v>21</v>
      </c>
      <c r="H22" s="94">
        <v>5905200.9473087834</v>
      </c>
      <c r="J22" s="117" t="s">
        <v>110</v>
      </c>
      <c r="K22" s="118" t="str">
        <f>J22</f>
        <v>Start investment</v>
      </c>
    </row>
    <row r="23" spans="1:11" x14ac:dyDescent="0.3">
      <c r="A23" s="54">
        <v>22</v>
      </c>
      <c r="B23" s="12">
        <v>3280124.4805463529</v>
      </c>
      <c r="D23" s="110">
        <f>Simulation!B2</f>
        <v>2619092.8459999999</v>
      </c>
      <c r="E23" s="108">
        <f>D23</f>
        <v>2619092.8459999999</v>
      </c>
      <c r="G23" s="54">
        <v>22</v>
      </c>
      <c r="H23" s="94">
        <v>5900167.029375596</v>
      </c>
      <c r="J23" s="119">
        <f>Simulation!I2</f>
        <v>5059639.6029150803</v>
      </c>
      <c r="K23" s="110">
        <f>J23</f>
        <v>5059639.6029150803</v>
      </c>
    </row>
    <row r="24" spans="1:11" x14ac:dyDescent="0.3">
      <c r="A24" s="54">
        <v>23</v>
      </c>
      <c r="B24" s="12">
        <v>3522865.7106142105</v>
      </c>
      <c r="D24" s="114" t="s">
        <v>111</v>
      </c>
      <c r="E24" s="115" t="s">
        <v>112</v>
      </c>
      <c r="G24" s="54">
        <v>23</v>
      </c>
      <c r="H24" s="94">
        <v>5977128.809948178</v>
      </c>
      <c r="J24" s="117" t="s">
        <v>111</v>
      </c>
      <c r="K24" s="118" t="s">
        <v>113</v>
      </c>
    </row>
    <row r="25" spans="1:11" x14ac:dyDescent="0.3">
      <c r="A25" s="54">
        <v>24</v>
      </c>
      <c r="B25" s="12">
        <v>3320345.3696344793</v>
      </c>
      <c r="D25" s="111">
        <f>D21-D23</f>
        <v>1309339.8696831912</v>
      </c>
      <c r="E25" s="109">
        <f>E21-E23</f>
        <v>346048.22681978019</v>
      </c>
      <c r="G25" s="54">
        <v>24</v>
      </c>
      <c r="H25" s="94">
        <v>5951409.7678945493</v>
      </c>
      <c r="J25" s="120">
        <f>J21-J23</f>
        <v>1035584.3373392606</v>
      </c>
      <c r="K25" s="111">
        <f>K21-K23</f>
        <v>593856.37080079503</v>
      </c>
    </row>
    <row r="26" spans="1:11" x14ac:dyDescent="0.3">
      <c r="A26" s="54">
        <v>25</v>
      </c>
      <c r="B26" s="12">
        <v>3419704.9886440369</v>
      </c>
      <c r="D26" s="110"/>
      <c r="E26" s="108"/>
      <c r="G26" s="54">
        <v>25</v>
      </c>
      <c r="H26" s="94">
        <v>5772467.5854480835</v>
      </c>
      <c r="J26" s="119"/>
      <c r="K26" s="110"/>
    </row>
    <row r="27" spans="1:11" x14ac:dyDescent="0.3">
      <c r="A27" s="54">
        <v>26</v>
      </c>
      <c r="B27" s="12">
        <v>3481097.5686391518</v>
      </c>
      <c r="D27" s="114" t="s">
        <v>14</v>
      </c>
      <c r="E27" s="191">
        <f>E3</f>
        <v>3443477.5809939886</v>
      </c>
      <c r="G27" s="54">
        <v>26</v>
      </c>
      <c r="H27" s="94">
        <v>5852995.0662285844</v>
      </c>
      <c r="J27" s="121" t="s">
        <v>14</v>
      </c>
      <c r="K27" s="192">
        <f>K3</f>
        <v>5865450.4942269819</v>
      </c>
    </row>
    <row r="28" spans="1:11" x14ac:dyDescent="0.3">
      <c r="A28" s="54">
        <v>27</v>
      </c>
      <c r="B28" s="12">
        <v>3237533.4847237938</v>
      </c>
      <c r="G28" s="54">
        <v>27</v>
      </c>
      <c r="H28" s="94">
        <v>5857921.4322013389</v>
      </c>
    </row>
    <row r="29" spans="1:11" x14ac:dyDescent="0.3">
      <c r="A29" s="54">
        <v>28</v>
      </c>
      <c r="B29" s="12">
        <v>3676376.0310413456</v>
      </c>
      <c r="E29" s="36"/>
      <c r="G29" s="54">
        <v>28</v>
      </c>
      <c r="H29" s="94">
        <v>5924108.1696852976</v>
      </c>
      <c r="K29" s="36"/>
    </row>
    <row r="30" spans="1:11" x14ac:dyDescent="0.3">
      <c r="A30" s="54">
        <v>29</v>
      </c>
      <c r="B30" s="12">
        <v>3585045.8886281471</v>
      </c>
      <c r="E30" s="12"/>
      <c r="G30" s="54">
        <v>29</v>
      </c>
      <c r="H30" s="94">
        <v>5775487.8039485179</v>
      </c>
    </row>
    <row r="31" spans="1:11" x14ac:dyDescent="0.3">
      <c r="A31" s="54">
        <v>30</v>
      </c>
      <c r="B31" s="12">
        <v>3408580.3399910927</v>
      </c>
      <c r="G31" s="54">
        <v>30</v>
      </c>
      <c r="H31" s="94">
        <v>5880554.7759914184</v>
      </c>
    </row>
    <row r="32" spans="1:11" x14ac:dyDescent="0.3">
      <c r="A32" s="54">
        <v>31</v>
      </c>
      <c r="B32" s="12">
        <v>3608230.9958149418</v>
      </c>
      <c r="G32" s="54">
        <v>31</v>
      </c>
      <c r="H32" s="94">
        <v>5890638.792896756</v>
      </c>
    </row>
    <row r="33" spans="1:8" x14ac:dyDescent="0.3">
      <c r="A33" s="54">
        <v>32</v>
      </c>
      <c r="B33" s="12">
        <v>3456643.777511151</v>
      </c>
      <c r="G33" s="54">
        <v>32</v>
      </c>
      <c r="H33" s="94">
        <v>5898480.5654480606</v>
      </c>
    </row>
    <row r="34" spans="1:8" x14ac:dyDescent="0.3">
      <c r="A34" s="54">
        <v>33</v>
      </c>
      <c r="B34" s="12">
        <v>3447774.3075686633</v>
      </c>
      <c r="G34" s="54">
        <v>33</v>
      </c>
      <c r="H34" s="94">
        <v>5798535.9214298269</v>
      </c>
    </row>
    <row r="35" spans="1:8" x14ac:dyDescent="0.3">
      <c r="A35" s="54">
        <v>34</v>
      </c>
      <c r="B35" s="12">
        <v>3661479.6118866629</v>
      </c>
      <c r="G35" s="54">
        <v>34</v>
      </c>
      <c r="H35" s="94">
        <v>5853012.5240758955</v>
      </c>
    </row>
    <row r="36" spans="1:8" x14ac:dyDescent="0.3">
      <c r="A36" s="54">
        <v>35</v>
      </c>
      <c r="B36" s="12">
        <v>3074480.0301140533</v>
      </c>
      <c r="G36" s="54">
        <v>35</v>
      </c>
      <c r="H36" s="94">
        <v>5842174.4979482898</v>
      </c>
    </row>
    <row r="37" spans="1:8" x14ac:dyDescent="0.3">
      <c r="A37" s="54">
        <v>36</v>
      </c>
      <c r="B37" s="12">
        <v>3359691.7240160666</v>
      </c>
      <c r="G37" s="54">
        <v>36</v>
      </c>
      <c r="H37" s="94">
        <v>5879205.654367676</v>
      </c>
    </row>
    <row r="38" spans="1:8" x14ac:dyDescent="0.3">
      <c r="A38" s="54">
        <v>37</v>
      </c>
      <c r="B38" s="12">
        <v>3531465.280988791</v>
      </c>
      <c r="G38" s="54">
        <v>37</v>
      </c>
      <c r="H38" s="94">
        <v>5982299.7463278705</v>
      </c>
    </row>
    <row r="39" spans="1:8" x14ac:dyDescent="0.3">
      <c r="A39" s="54">
        <v>38</v>
      </c>
      <c r="B39" s="12">
        <v>3568863.7085714689</v>
      </c>
      <c r="G39" s="54">
        <v>38</v>
      </c>
      <c r="H39" s="94">
        <v>5815545.9442317775</v>
      </c>
    </row>
    <row r="40" spans="1:8" x14ac:dyDescent="0.3">
      <c r="A40" s="54">
        <v>39</v>
      </c>
      <c r="B40" s="12">
        <v>3420884.7069713911</v>
      </c>
      <c r="G40" s="54">
        <v>39</v>
      </c>
      <c r="H40" s="94">
        <v>5834871.9159410316</v>
      </c>
    </row>
    <row r="41" spans="1:8" x14ac:dyDescent="0.3">
      <c r="A41" s="54">
        <v>40</v>
      </c>
      <c r="B41" s="12">
        <v>3337723.7202329766</v>
      </c>
      <c r="G41" s="54">
        <v>40</v>
      </c>
      <c r="H41" s="94">
        <v>5866680.3573384648</v>
      </c>
    </row>
    <row r="42" spans="1:8" x14ac:dyDescent="0.3">
      <c r="A42" s="54">
        <v>41</v>
      </c>
      <c r="B42" s="12">
        <v>3447477.1346559646</v>
      </c>
      <c r="G42" s="54">
        <v>41</v>
      </c>
      <c r="H42" s="94">
        <v>5922808.0250909552</v>
      </c>
    </row>
    <row r="43" spans="1:8" x14ac:dyDescent="0.3">
      <c r="A43" s="54">
        <v>42</v>
      </c>
      <c r="B43" s="12">
        <v>3517583.0831519291</v>
      </c>
      <c r="G43" s="54">
        <v>42</v>
      </c>
      <c r="H43" s="94">
        <v>5770069.8626284217</v>
      </c>
    </row>
    <row r="44" spans="1:8" x14ac:dyDescent="0.3">
      <c r="A44" s="54">
        <v>43</v>
      </c>
      <c r="B44" s="12">
        <v>3580714.9361553378</v>
      </c>
      <c r="G44" s="54">
        <v>43</v>
      </c>
      <c r="H44" s="94">
        <v>5877350.7830493189</v>
      </c>
    </row>
    <row r="45" spans="1:8" x14ac:dyDescent="0.3">
      <c r="A45" s="54">
        <v>44</v>
      </c>
      <c r="B45" s="12">
        <v>3384990.9320836579</v>
      </c>
      <c r="G45" s="54">
        <v>44</v>
      </c>
      <c r="H45" s="94">
        <v>5804692.0943572894</v>
      </c>
    </row>
    <row r="46" spans="1:8" x14ac:dyDescent="0.3">
      <c r="A46" s="54">
        <v>45</v>
      </c>
      <c r="B46" s="12">
        <v>3648268.551349638</v>
      </c>
      <c r="G46" s="54">
        <v>45</v>
      </c>
      <c r="H46" s="94">
        <v>5881512.667143655</v>
      </c>
    </row>
    <row r="47" spans="1:8" x14ac:dyDescent="0.3">
      <c r="A47" s="54">
        <v>46</v>
      </c>
      <c r="B47" s="12">
        <v>3224771.4074884593</v>
      </c>
      <c r="G47" s="54">
        <v>46</v>
      </c>
      <c r="H47" s="94">
        <v>5755246.6844422631</v>
      </c>
    </row>
    <row r="48" spans="1:8" x14ac:dyDescent="0.3">
      <c r="A48" s="54">
        <v>47</v>
      </c>
      <c r="B48" s="12">
        <v>3479558.5059021683</v>
      </c>
      <c r="G48" s="54">
        <v>47</v>
      </c>
      <c r="H48" s="94">
        <v>5888984.2540142285</v>
      </c>
    </row>
    <row r="49" spans="1:8" x14ac:dyDescent="0.3">
      <c r="A49" s="54">
        <v>48</v>
      </c>
      <c r="B49" s="12">
        <v>3538525.6129520144</v>
      </c>
      <c r="G49" s="54">
        <v>48</v>
      </c>
      <c r="H49" s="94">
        <v>5999469.6715618987</v>
      </c>
    </row>
    <row r="50" spans="1:8" x14ac:dyDescent="0.3">
      <c r="A50" s="54">
        <v>49</v>
      </c>
      <c r="B50" s="12">
        <v>3593909.6960150762</v>
      </c>
      <c r="G50" s="54">
        <v>49</v>
      </c>
      <c r="H50" s="94">
        <v>6018500.7479489828</v>
      </c>
    </row>
    <row r="51" spans="1:8" x14ac:dyDescent="0.3">
      <c r="A51" s="54">
        <v>50</v>
      </c>
      <c r="B51" s="12">
        <v>3441936.9109972799</v>
      </c>
      <c r="G51" s="54">
        <v>50</v>
      </c>
      <c r="H51" s="94">
        <v>5921361.1887012115</v>
      </c>
    </row>
    <row r="52" spans="1:8" x14ac:dyDescent="0.3">
      <c r="A52" s="54">
        <v>51</v>
      </c>
      <c r="B52" s="12">
        <v>3232708.9081046027</v>
      </c>
      <c r="G52" s="54">
        <v>51</v>
      </c>
      <c r="H52" s="94">
        <v>5787448.3569609709</v>
      </c>
    </row>
    <row r="53" spans="1:8" x14ac:dyDescent="0.3">
      <c r="A53" s="54">
        <v>52</v>
      </c>
      <c r="B53" s="12">
        <v>3503631.4325660714</v>
      </c>
      <c r="G53" s="54">
        <v>52</v>
      </c>
      <c r="H53" s="94">
        <v>5826029.005395093</v>
      </c>
    </row>
    <row r="54" spans="1:8" x14ac:dyDescent="0.3">
      <c r="A54" s="54">
        <v>53</v>
      </c>
      <c r="B54" s="12">
        <v>3371743.2740666075</v>
      </c>
      <c r="G54" s="54">
        <v>53</v>
      </c>
      <c r="H54" s="94">
        <v>5899742.6169760916</v>
      </c>
    </row>
    <row r="55" spans="1:8" x14ac:dyDescent="0.3">
      <c r="A55" s="54">
        <v>54</v>
      </c>
      <c r="B55" s="12">
        <v>3462846.0211699279</v>
      </c>
      <c r="G55" s="54">
        <v>54</v>
      </c>
      <c r="H55" s="94">
        <v>5995358.0996225644</v>
      </c>
    </row>
    <row r="56" spans="1:8" x14ac:dyDescent="0.3">
      <c r="A56" s="54">
        <v>55</v>
      </c>
      <c r="B56" s="12">
        <v>3242510.3751252564</v>
      </c>
      <c r="G56" s="54">
        <v>55</v>
      </c>
      <c r="H56" s="94">
        <v>5860868.4869951904</v>
      </c>
    </row>
    <row r="57" spans="1:8" x14ac:dyDescent="0.3">
      <c r="A57" s="54">
        <v>56</v>
      </c>
      <c r="B57" s="12">
        <v>3361997.1473998548</v>
      </c>
      <c r="G57" s="54">
        <v>56</v>
      </c>
      <c r="H57" s="94">
        <v>5786943.3570113303</v>
      </c>
    </row>
    <row r="58" spans="1:8" x14ac:dyDescent="0.3">
      <c r="A58" s="54">
        <v>57</v>
      </c>
      <c r="B58" s="12">
        <v>3462112.7646805109</v>
      </c>
      <c r="G58" s="54">
        <v>57</v>
      </c>
      <c r="H58" s="94">
        <v>6007843.6535673449</v>
      </c>
    </row>
    <row r="59" spans="1:8" x14ac:dyDescent="0.3">
      <c r="A59" s="54">
        <v>58</v>
      </c>
      <c r="B59" s="12">
        <v>3528691.4063132857</v>
      </c>
      <c r="G59" s="54">
        <v>58</v>
      </c>
      <c r="H59" s="94">
        <v>5942975.160109614</v>
      </c>
    </row>
    <row r="60" spans="1:8" x14ac:dyDescent="0.3">
      <c r="A60" s="54">
        <v>59</v>
      </c>
      <c r="B60" s="12">
        <v>3696589.8626030069</v>
      </c>
      <c r="G60" s="54">
        <v>59</v>
      </c>
      <c r="H60" s="94">
        <v>5861588.2299578916</v>
      </c>
    </row>
    <row r="61" spans="1:8" x14ac:dyDescent="0.3">
      <c r="A61" s="54">
        <v>60</v>
      </c>
      <c r="B61" s="12">
        <v>3712067.8084434182</v>
      </c>
      <c r="G61" s="54">
        <v>60</v>
      </c>
      <c r="H61" s="94">
        <v>5948426.8628147971</v>
      </c>
    </row>
    <row r="62" spans="1:8" x14ac:dyDescent="0.3">
      <c r="A62" s="54">
        <v>61</v>
      </c>
      <c r="B62" s="12">
        <v>3283319.8815425984</v>
      </c>
      <c r="G62" s="54">
        <v>61</v>
      </c>
      <c r="H62" s="94">
        <v>5841802.6640482051</v>
      </c>
    </row>
    <row r="63" spans="1:8" x14ac:dyDescent="0.3">
      <c r="A63" s="54">
        <v>62</v>
      </c>
      <c r="B63" s="12">
        <v>3421176.7237512642</v>
      </c>
      <c r="G63" s="54">
        <v>62</v>
      </c>
      <c r="H63" s="94">
        <v>5831857.6247132327</v>
      </c>
    </row>
    <row r="64" spans="1:8" x14ac:dyDescent="0.3">
      <c r="A64" s="54">
        <v>63</v>
      </c>
      <c r="B64" s="12">
        <v>3285010.8424971332</v>
      </c>
      <c r="G64" s="54">
        <v>63</v>
      </c>
      <c r="H64" s="94">
        <v>6037924.0761101311</v>
      </c>
    </row>
    <row r="65" spans="1:8" x14ac:dyDescent="0.3">
      <c r="A65" s="54">
        <v>64</v>
      </c>
      <c r="B65" s="12">
        <v>3415819.061124335</v>
      </c>
      <c r="G65" s="54">
        <v>64</v>
      </c>
      <c r="H65" s="94">
        <v>5947677.1574299987</v>
      </c>
    </row>
    <row r="66" spans="1:8" x14ac:dyDescent="0.3">
      <c r="A66" s="54">
        <v>65</v>
      </c>
      <c r="B66" s="12">
        <v>3121136.4402634823</v>
      </c>
      <c r="G66" s="54">
        <v>65</v>
      </c>
      <c r="H66" s="94">
        <v>5783185.191284813</v>
      </c>
    </row>
    <row r="67" spans="1:8" x14ac:dyDescent="0.3">
      <c r="A67" s="54">
        <v>66</v>
      </c>
      <c r="B67" s="12">
        <v>3557816.9895661981</v>
      </c>
      <c r="G67" s="54">
        <v>66</v>
      </c>
      <c r="H67" s="94">
        <v>5921460.3479658654</v>
      </c>
    </row>
    <row r="68" spans="1:8" x14ac:dyDescent="0.3">
      <c r="A68" s="54">
        <v>67</v>
      </c>
      <c r="B68" s="12">
        <v>3452597.1854132037</v>
      </c>
      <c r="G68" s="54">
        <v>67</v>
      </c>
      <c r="H68" s="94">
        <v>5823185.2078859424</v>
      </c>
    </row>
    <row r="69" spans="1:8" x14ac:dyDescent="0.3">
      <c r="A69" s="54">
        <v>68</v>
      </c>
      <c r="B69" s="12">
        <v>3590823.0576144499</v>
      </c>
      <c r="G69" s="54">
        <v>68</v>
      </c>
      <c r="H69" s="94">
        <v>5894208.018977195</v>
      </c>
    </row>
    <row r="70" spans="1:8" x14ac:dyDescent="0.3">
      <c r="A70" s="54">
        <v>69</v>
      </c>
      <c r="B70" s="12">
        <v>3467770.3347901227</v>
      </c>
      <c r="G70" s="54">
        <v>69</v>
      </c>
      <c r="H70" s="94">
        <v>5784412.317900666</v>
      </c>
    </row>
    <row r="71" spans="1:8" x14ac:dyDescent="0.3">
      <c r="A71" s="54">
        <v>70</v>
      </c>
      <c r="B71" s="12">
        <v>3226441.3417108236</v>
      </c>
      <c r="G71" s="54">
        <v>70</v>
      </c>
      <c r="H71" s="94">
        <v>5845206.3202720163</v>
      </c>
    </row>
    <row r="72" spans="1:8" x14ac:dyDescent="0.3">
      <c r="A72" s="54">
        <v>71</v>
      </c>
      <c r="B72" s="12">
        <v>3291390.7838257547</v>
      </c>
      <c r="G72" s="54">
        <v>71</v>
      </c>
      <c r="H72" s="94">
        <v>5780445.1855943762</v>
      </c>
    </row>
    <row r="73" spans="1:8" x14ac:dyDescent="0.3">
      <c r="A73" s="54">
        <v>72</v>
      </c>
      <c r="B73" s="12">
        <v>3603558.2435926599</v>
      </c>
      <c r="G73" s="54">
        <v>72</v>
      </c>
      <c r="H73" s="94">
        <v>5775357.3849522043</v>
      </c>
    </row>
    <row r="74" spans="1:8" x14ac:dyDescent="0.3">
      <c r="A74" s="54">
        <v>73</v>
      </c>
      <c r="B74" s="12">
        <v>3647611.0199835994</v>
      </c>
      <c r="G74" s="54">
        <v>73</v>
      </c>
      <c r="H74" s="94">
        <v>5940106.0487508625</v>
      </c>
    </row>
    <row r="75" spans="1:8" x14ac:dyDescent="0.3">
      <c r="A75" s="54">
        <v>74</v>
      </c>
      <c r="B75" s="12">
        <v>3320152.1308946325</v>
      </c>
      <c r="G75" s="54">
        <v>74</v>
      </c>
      <c r="H75" s="94">
        <v>5763103.8502536146</v>
      </c>
    </row>
    <row r="76" spans="1:8" x14ac:dyDescent="0.3">
      <c r="A76" s="54">
        <v>75</v>
      </c>
      <c r="B76" s="12">
        <v>3229302.7222154881</v>
      </c>
      <c r="G76" s="54">
        <v>75</v>
      </c>
      <c r="H76" s="94">
        <v>5908919.2963471981</v>
      </c>
    </row>
    <row r="77" spans="1:8" x14ac:dyDescent="0.3">
      <c r="A77" s="54">
        <v>76</v>
      </c>
      <c r="B77" s="12">
        <v>3454060.5881119315</v>
      </c>
      <c r="G77" s="54">
        <v>76</v>
      </c>
      <c r="H77" s="94">
        <v>5862156.0335306544</v>
      </c>
    </row>
    <row r="78" spans="1:8" x14ac:dyDescent="0.3">
      <c r="A78" s="54">
        <v>77</v>
      </c>
      <c r="B78" s="12">
        <v>3286499.1855779681</v>
      </c>
      <c r="G78" s="54">
        <v>77</v>
      </c>
      <c r="H78" s="94">
        <v>5763926.2835765881</v>
      </c>
    </row>
    <row r="79" spans="1:8" x14ac:dyDescent="0.3">
      <c r="A79" s="54">
        <v>78</v>
      </c>
      <c r="B79" s="12">
        <v>3364213.7980659888</v>
      </c>
      <c r="G79" s="54">
        <v>78</v>
      </c>
      <c r="H79" s="94">
        <v>5879951.6016721278</v>
      </c>
    </row>
    <row r="80" spans="1:8" x14ac:dyDescent="0.3">
      <c r="A80" s="54">
        <v>79</v>
      </c>
      <c r="B80" s="12">
        <v>3383892.9883269561</v>
      </c>
      <c r="G80" s="54">
        <v>79</v>
      </c>
      <c r="H80" s="94">
        <v>5931809.1183792427</v>
      </c>
    </row>
    <row r="81" spans="1:8" x14ac:dyDescent="0.3">
      <c r="A81" s="54">
        <v>80</v>
      </c>
      <c r="B81" s="12">
        <v>3294902.9577342523</v>
      </c>
      <c r="G81" s="54">
        <v>80</v>
      </c>
      <c r="H81" s="94">
        <v>5876117.690354378</v>
      </c>
    </row>
    <row r="82" spans="1:8" x14ac:dyDescent="0.3">
      <c r="A82" s="54">
        <v>81</v>
      </c>
      <c r="B82" s="12">
        <v>3365870.7667996064</v>
      </c>
      <c r="G82" s="54">
        <v>81</v>
      </c>
      <c r="H82" s="94">
        <v>5862982.3842804302</v>
      </c>
    </row>
    <row r="83" spans="1:8" x14ac:dyDescent="0.3">
      <c r="A83" s="54">
        <v>82</v>
      </c>
      <c r="B83" s="12">
        <v>3219327.7854601964</v>
      </c>
      <c r="G83" s="54">
        <v>82</v>
      </c>
      <c r="H83" s="94">
        <v>5870039.9181189155</v>
      </c>
    </row>
    <row r="84" spans="1:8" x14ac:dyDescent="0.3">
      <c r="A84" s="54">
        <v>83</v>
      </c>
      <c r="B84" s="12">
        <v>3558471.4712550398</v>
      </c>
      <c r="G84" s="54">
        <v>83</v>
      </c>
      <c r="H84" s="94">
        <v>5853573.7297897916</v>
      </c>
    </row>
    <row r="85" spans="1:8" x14ac:dyDescent="0.3">
      <c r="A85" s="54">
        <v>84</v>
      </c>
      <c r="B85" s="12">
        <v>3555121.7195745213</v>
      </c>
      <c r="G85" s="54">
        <v>84</v>
      </c>
      <c r="H85" s="94">
        <v>5973334.6480723852</v>
      </c>
    </row>
    <row r="86" spans="1:8" x14ac:dyDescent="0.3">
      <c r="A86" s="54">
        <v>85</v>
      </c>
      <c r="B86" s="12">
        <v>3521539.9036815809</v>
      </c>
      <c r="G86" s="54">
        <v>85</v>
      </c>
      <c r="H86" s="94">
        <v>5889403.7015949553</v>
      </c>
    </row>
    <row r="87" spans="1:8" x14ac:dyDescent="0.3">
      <c r="A87" s="54">
        <v>86</v>
      </c>
      <c r="B87" s="12">
        <v>3450089.699090892</v>
      </c>
      <c r="G87" s="54">
        <v>86</v>
      </c>
      <c r="H87" s="94">
        <v>5872474.9729089504</v>
      </c>
    </row>
    <row r="88" spans="1:8" x14ac:dyDescent="0.3">
      <c r="A88" s="54">
        <v>87</v>
      </c>
      <c r="B88" s="12">
        <v>3226986.8300682134</v>
      </c>
      <c r="G88" s="54">
        <v>87</v>
      </c>
      <c r="H88" s="94">
        <v>5898459.7090167776</v>
      </c>
    </row>
    <row r="89" spans="1:8" x14ac:dyDescent="0.3">
      <c r="A89" s="54">
        <v>88</v>
      </c>
      <c r="B89" s="12">
        <v>3543187.6479352433</v>
      </c>
      <c r="G89" s="54">
        <v>88</v>
      </c>
      <c r="H89" s="94">
        <v>5903197.9595258394</v>
      </c>
    </row>
    <row r="90" spans="1:8" x14ac:dyDescent="0.3">
      <c r="A90" s="54">
        <v>89</v>
      </c>
      <c r="B90" s="12">
        <v>3361621.5399586903</v>
      </c>
      <c r="G90" s="54">
        <v>89</v>
      </c>
      <c r="H90" s="94">
        <v>5796381.044755579</v>
      </c>
    </row>
    <row r="91" spans="1:8" x14ac:dyDescent="0.3">
      <c r="A91" s="54">
        <v>90</v>
      </c>
      <c r="B91" s="12">
        <v>3398585.9304445987</v>
      </c>
      <c r="G91" s="54">
        <v>90</v>
      </c>
      <c r="H91" s="94">
        <v>5961184.6031862414</v>
      </c>
    </row>
    <row r="92" spans="1:8" x14ac:dyDescent="0.3">
      <c r="A92" s="54">
        <v>91</v>
      </c>
      <c r="B92" s="12">
        <v>3367630.9512216388</v>
      </c>
      <c r="G92" s="54">
        <v>91</v>
      </c>
      <c r="H92" s="94">
        <v>5823132.6614239523</v>
      </c>
    </row>
    <row r="93" spans="1:8" x14ac:dyDescent="0.3">
      <c r="A93" s="54">
        <v>92</v>
      </c>
      <c r="B93" s="12">
        <v>3422904.4165007421</v>
      </c>
      <c r="G93" s="54">
        <v>92</v>
      </c>
      <c r="H93" s="94">
        <v>5861575.6334541971</v>
      </c>
    </row>
    <row r="94" spans="1:8" x14ac:dyDescent="0.3">
      <c r="A94" s="54">
        <v>93</v>
      </c>
      <c r="B94" s="12">
        <v>3347184.7863095747</v>
      </c>
      <c r="G94" s="54">
        <v>93</v>
      </c>
      <c r="H94" s="94">
        <v>5992873.4349173754</v>
      </c>
    </row>
    <row r="95" spans="1:8" x14ac:dyDescent="0.3">
      <c r="A95" s="54">
        <v>94</v>
      </c>
      <c r="B95" s="12">
        <v>3548769.5737014897</v>
      </c>
      <c r="G95" s="54">
        <v>94</v>
      </c>
      <c r="H95" s="94">
        <v>5875860.7472989485</v>
      </c>
    </row>
    <row r="96" spans="1:8" x14ac:dyDescent="0.3">
      <c r="A96" s="54">
        <v>95</v>
      </c>
      <c r="B96" s="12">
        <v>3507825.2234486798</v>
      </c>
      <c r="G96" s="54">
        <v>95</v>
      </c>
      <c r="H96" s="94">
        <v>5894953.4022517763</v>
      </c>
    </row>
    <row r="97" spans="1:8" x14ac:dyDescent="0.3">
      <c r="A97" s="54">
        <v>96</v>
      </c>
      <c r="B97" s="12">
        <v>3538805.3745563813</v>
      </c>
      <c r="G97" s="54">
        <v>96</v>
      </c>
      <c r="H97" s="94">
        <v>5766773.3676951574</v>
      </c>
    </row>
    <row r="98" spans="1:8" x14ac:dyDescent="0.3">
      <c r="A98" s="54">
        <v>97</v>
      </c>
      <c r="B98" s="12">
        <v>3155800.2905435804</v>
      </c>
      <c r="G98" s="54">
        <v>97</v>
      </c>
      <c r="H98" s="94">
        <v>5939323.9538869867</v>
      </c>
    </row>
    <row r="99" spans="1:8" x14ac:dyDescent="0.3">
      <c r="A99" s="54">
        <v>98</v>
      </c>
      <c r="B99" s="12">
        <v>3352980.978734429</v>
      </c>
      <c r="G99" s="54">
        <v>98</v>
      </c>
      <c r="H99" s="94">
        <v>5872597.6922491575</v>
      </c>
    </row>
    <row r="100" spans="1:8" x14ac:dyDescent="0.3">
      <c r="A100" s="54">
        <v>99</v>
      </c>
      <c r="B100" s="12">
        <v>3566642.0154360281</v>
      </c>
      <c r="G100" s="54">
        <v>99</v>
      </c>
      <c r="H100" s="94">
        <v>5800024.5034534596</v>
      </c>
    </row>
    <row r="101" spans="1:8" x14ac:dyDescent="0.3">
      <c r="A101" s="54">
        <v>100</v>
      </c>
      <c r="B101" s="12">
        <v>3530935.4814826343</v>
      </c>
      <c r="G101" s="54">
        <v>100</v>
      </c>
      <c r="H101" s="94">
        <v>5905867.7953597931</v>
      </c>
    </row>
    <row r="102" spans="1:8" x14ac:dyDescent="0.3">
      <c r="A102" s="54">
        <v>101</v>
      </c>
      <c r="B102" s="12">
        <v>3300934.1796417157</v>
      </c>
      <c r="G102" s="54">
        <v>101</v>
      </c>
      <c r="H102" s="94">
        <v>5830763.6720142998</v>
      </c>
    </row>
    <row r="103" spans="1:8" x14ac:dyDescent="0.3">
      <c r="A103" s="54">
        <v>102</v>
      </c>
      <c r="B103" s="12">
        <v>3312641.1871367376</v>
      </c>
      <c r="G103" s="54">
        <v>102</v>
      </c>
      <c r="H103" s="94">
        <v>5907298.7621926544</v>
      </c>
    </row>
    <row r="104" spans="1:8" x14ac:dyDescent="0.3">
      <c r="A104" s="54">
        <v>103</v>
      </c>
      <c r="B104" s="12">
        <v>3514938.6962352111</v>
      </c>
      <c r="G104" s="54">
        <v>103</v>
      </c>
      <c r="H104" s="94">
        <v>5822441.3974928902</v>
      </c>
    </row>
    <row r="105" spans="1:8" x14ac:dyDescent="0.3">
      <c r="A105" s="54">
        <v>104</v>
      </c>
      <c r="B105" s="12">
        <v>3663450.0528532704</v>
      </c>
      <c r="G105" s="54">
        <v>104</v>
      </c>
      <c r="H105" s="94">
        <v>5785016.9585707309</v>
      </c>
    </row>
    <row r="106" spans="1:8" x14ac:dyDescent="0.3">
      <c r="A106" s="54">
        <v>105</v>
      </c>
      <c r="B106" s="12">
        <v>3241752.2120048748</v>
      </c>
      <c r="G106" s="54">
        <v>105</v>
      </c>
      <c r="H106" s="94">
        <v>5906030.6498153089</v>
      </c>
    </row>
    <row r="107" spans="1:8" x14ac:dyDescent="0.3">
      <c r="A107" s="54">
        <v>106</v>
      </c>
      <c r="B107" s="12">
        <v>3398567.6632965584</v>
      </c>
      <c r="G107" s="54">
        <v>106</v>
      </c>
      <c r="H107" s="94">
        <v>5858073.8575637378</v>
      </c>
    </row>
    <row r="108" spans="1:8" x14ac:dyDescent="0.3">
      <c r="A108" s="54">
        <v>107</v>
      </c>
      <c r="B108" s="12">
        <v>3415794.4902749648</v>
      </c>
      <c r="G108" s="54">
        <v>107</v>
      </c>
      <c r="H108" s="94">
        <v>5888207.1185730323</v>
      </c>
    </row>
    <row r="109" spans="1:8" x14ac:dyDescent="0.3">
      <c r="A109" s="54">
        <v>108</v>
      </c>
      <c r="B109" s="12">
        <v>3438151.9119257336</v>
      </c>
      <c r="G109" s="54">
        <v>108</v>
      </c>
      <c r="H109" s="94">
        <v>5746147.2535879565</v>
      </c>
    </row>
    <row r="110" spans="1:8" x14ac:dyDescent="0.3">
      <c r="A110" s="54">
        <v>109</v>
      </c>
      <c r="B110" s="12">
        <v>3510446.7489669202</v>
      </c>
      <c r="G110" s="54">
        <v>109</v>
      </c>
      <c r="H110" s="94">
        <v>5792463.5173930656</v>
      </c>
    </row>
    <row r="111" spans="1:8" x14ac:dyDescent="0.3">
      <c r="A111" s="54">
        <v>110</v>
      </c>
      <c r="B111" s="12">
        <v>3145396.9771879753</v>
      </c>
      <c r="G111" s="54">
        <v>110</v>
      </c>
      <c r="H111" s="94">
        <v>5844186.1136672003</v>
      </c>
    </row>
    <row r="112" spans="1:8" x14ac:dyDescent="0.3">
      <c r="A112" s="54">
        <v>111</v>
      </c>
      <c r="B112" s="12">
        <v>3464487.3870231984</v>
      </c>
      <c r="G112" s="54">
        <v>111</v>
      </c>
      <c r="H112" s="94">
        <v>5936989.7931104908</v>
      </c>
    </row>
    <row r="113" spans="1:8" x14ac:dyDescent="0.3">
      <c r="A113" s="54">
        <v>112</v>
      </c>
      <c r="B113" s="12">
        <v>3264893.7436600579</v>
      </c>
      <c r="G113" s="54">
        <v>112</v>
      </c>
      <c r="H113" s="94">
        <v>5878903.8658782747</v>
      </c>
    </row>
    <row r="114" spans="1:8" x14ac:dyDescent="0.3">
      <c r="A114" s="54">
        <v>113</v>
      </c>
      <c r="B114" s="12">
        <v>3326144.1696250192</v>
      </c>
      <c r="G114" s="54">
        <v>113</v>
      </c>
      <c r="H114" s="94">
        <v>5838163.2260926357</v>
      </c>
    </row>
    <row r="115" spans="1:8" x14ac:dyDescent="0.3">
      <c r="A115" s="54">
        <v>114</v>
      </c>
      <c r="B115" s="12">
        <v>3536344.8793184436</v>
      </c>
      <c r="G115" s="54">
        <v>114</v>
      </c>
      <c r="H115" s="94">
        <v>5838538.7215257585</v>
      </c>
    </row>
    <row r="116" spans="1:8" x14ac:dyDescent="0.3">
      <c r="A116" s="54">
        <v>115</v>
      </c>
      <c r="B116" s="12">
        <v>3323559.152654713</v>
      </c>
      <c r="G116" s="54">
        <v>115</v>
      </c>
      <c r="H116" s="94">
        <v>5917982.1839142991</v>
      </c>
    </row>
    <row r="117" spans="1:8" x14ac:dyDescent="0.3">
      <c r="A117" s="54">
        <v>116</v>
      </c>
      <c r="B117" s="12">
        <v>3467596.4988275734</v>
      </c>
      <c r="G117" s="54">
        <v>116</v>
      </c>
      <c r="H117" s="94">
        <v>5832256.9562473642</v>
      </c>
    </row>
    <row r="118" spans="1:8" x14ac:dyDescent="0.3">
      <c r="A118" s="54">
        <v>117</v>
      </c>
      <c r="B118" s="12">
        <v>3318449.1889326521</v>
      </c>
      <c r="G118" s="54">
        <v>117</v>
      </c>
      <c r="H118" s="94">
        <v>5947990.7613538271</v>
      </c>
    </row>
    <row r="119" spans="1:8" x14ac:dyDescent="0.3">
      <c r="A119" s="54">
        <v>118</v>
      </c>
      <c r="B119" s="12">
        <v>3420637.5283991187</v>
      </c>
      <c r="G119" s="54">
        <v>118</v>
      </c>
      <c r="H119" s="94">
        <v>5901105.0526395431</v>
      </c>
    </row>
    <row r="120" spans="1:8" x14ac:dyDescent="0.3">
      <c r="A120" s="54">
        <v>119</v>
      </c>
      <c r="B120" s="12">
        <v>3175187.0309622413</v>
      </c>
      <c r="G120" s="54">
        <v>119</v>
      </c>
      <c r="H120" s="94">
        <v>5793906.6648917021</v>
      </c>
    </row>
    <row r="121" spans="1:8" x14ac:dyDescent="0.3">
      <c r="A121" s="54">
        <v>120</v>
      </c>
      <c r="B121" s="12">
        <v>3222454.9811068168</v>
      </c>
      <c r="G121" s="54">
        <v>120</v>
      </c>
      <c r="H121" s="94">
        <v>5821802.366000196</v>
      </c>
    </row>
    <row r="122" spans="1:8" x14ac:dyDescent="0.3">
      <c r="A122" s="54">
        <v>121</v>
      </c>
      <c r="B122" s="12">
        <v>3517293.5721392003</v>
      </c>
      <c r="G122" s="54">
        <v>121</v>
      </c>
      <c r="H122" s="94">
        <v>5885507.9134491244</v>
      </c>
    </row>
    <row r="123" spans="1:8" x14ac:dyDescent="0.3">
      <c r="A123" s="54">
        <v>122</v>
      </c>
      <c r="B123" s="12">
        <v>3561113.4584756601</v>
      </c>
      <c r="G123" s="54">
        <v>122</v>
      </c>
      <c r="H123" s="94">
        <v>5869646.9890698399</v>
      </c>
    </row>
    <row r="124" spans="1:8" x14ac:dyDescent="0.3">
      <c r="A124" s="54">
        <v>123</v>
      </c>
      <c r="B124" s="12">
        <v>3371297.0204243707</v>
      </c>
      <c r="G124" s="54">
        <v>123</v>
      </c>
      <c r="H124" s="94">
        <v>5778171.6931532491</v>
      </c>
    </row>
    <row r="125" spans="1:8" x14ac:dyDescent="0.3">
      <c r="A125" s="54">
        <v>124</v>
      </c>
      <c r="B125" s="12">
        <v>3142187.1201887713</v>
      </c>
      <c r="G125" s="54">
        <v>124</v>
      </c>
      <c r="H125" s="94">
        <v>5871537.4088584911</v>
      </c>
    </row>
    <row r="126" spans="1:8" x14ac:dyDescent="0.3">
      <c r="A126" s="54">
        <v>125</v>
      </c>
      <c r="B126" s="12">
        <v>3428096.917483706</v>
      </c>
      <c r="G126" s="54">
        <v>125</v>
      </c>
      <c r="H126" s="94">
        <v>5881710.8262030371</v>
      </c>
    </row>
    <row r="127" spans="1:8" x14ac:dyDescent="0.3">
      <c r="A127" s="54">
        <v>126</v>
      </c>
      <c r="B127" s="12">
        <v>3398227.2294554859</v>
      </c>
      <c r="G127" s="54">
        <v>126</v>
      </c>
      <c r="H127" s="94">
        <v>5831841.7728033932</v>
      </c>
    </row>
    <row r="128" spans="1:8" x14ac:dyDescent="0.3">
      <c r="A128" s="54">
        <v>127</v>
      </c>
      <c r="B128" s="12">
        <v>3253690.030548491</v>
      </c>
      <c r="G128" s="54">
        <v>127</v>
      </c>
      <c r="H128" s="94">
        <v>5780714.3230416737</v>
      </c>
    </row>
    <row r="129" spans="1:8" x14ac:dyDescent="0.3">
      <c r="A129" s="54">
        <v>128</v>
      </c>
      <c r="B129" s="12">
        <v>3616571.3506602845</v>
      </c>
      <c r="G129" s="54">
        <v>128</v>
      </c>
      <c r="H129" s="94">
        <v>5865218.247151115</v>
      </c>
    </row>
    <row r="130" spans="1:8" x14ac:dyDescent="0.3">
      <c r="A130" s="54">
        <v>129</v>
      </c>
      <c r="B130" s="12">
        <v>3478157.1866415888</v>
      </c>
      <c r="G130" s="54">
        <v>129</v>
      </c>
      <c r="H130" s="94">
        <v>5858929.4951501554</v>
      </c>
    </row>
    <row r="131" spans="1:8" x14ac:dyDescent="0.3">
      <c r="A131" s="54">
        <v>130</v>
      </c>
      <c r="B131" s="12">
        <v>3461938.9505870561</v>
      </c>
      <c r="G131" s="54">
        <v>130</v>
      </c>
      <c r="H131" s="94">
        <v>5924520.1596929077</v>
      </c>
    </row>
    <row r="132" spans="1:8" x14ac:dyDescent="0.3">
      <c r="A132" s="54">
        <v>131</v>
      </c>
      <c r="B132" s="12">
        <v>3401920.0779667408</v>
      </c>
      <c r="G132" s="54">
        <v>131</v>
      </c>
      <c r="H132" s="94">
        <v>5848872.8558393074</v>
      </c>
    </row>
    <row r="133" spans="1:8" x14ac:dyDescent="0.3">
      <c r="A133" s="54">
        <v>132</v>
      </c>
      <c r="B133" s="12">
        <v>3200117.3556235582</v>
      </c>
      <c r="G133" s="54">
        <v>132</v>
      </c>
      <c r="H133" s="94">
        <v>5919910.2551220795</v>
      </c>
    </row>
    <row r="134" spans="1:8" x14ac:dyDescent="0.3">
      <c r="A134" s="54">
        <v>133</v>
      </c>
      <c r="B134" s="12">
        <v>3642367.6029336732</v>
      </c>
      <c r="G134" s="54">
        <v>133</v>
      </c>
      <c r="H134" s="94">
        <v>5823236.4075136743</v>
      </c>
    </row>
    <row r="135" spans="1:8" x14ac:dyDescent="0.3">
      <c r="A135" s="54">
        <v>134</v>
      </c>
      <c r="B135" s="12">
        <v>3521435.8503243201</v>
      </c>
      <c r="G135" s="54">
        <v>134</v>
      </c>
      <c r="H135" s="94">
        <v>5923343.5582944052</v>
      </c>
    </row>
    <row r="136" spans="1:8" x14ac:dyDescent="0.3">
      <c r="A136" s="54">
        <v>135</v>
      </c>
      <c r="B136" s="12">
        <v>3201887.3679951211</v>
      </c>
      <c r="G136" s="54">
        <v>135</v>
      </c>
      <c r="H136" s="94">
        <v>5911585.5951587204</v>
      </c>
    </row>
    <row r="137" spans="1:8" x14ac:dyDescent="0.3">
      <c r="A137" s="54">
        <v>136</v>
      </c>
      <c r="B137" s="12">
        <v>3467094.045757798</v>
      </c>
      <c r="G137" s="54">
        <v>136</v>
      </c>
      <c r="H137" s="94">
        <v>5882551.7878537597</v>
      </c>
    </row>
    <row r="138" spans="1:8" x14ac:dyDescent="0.3">
      <c r="A138" s="54">
        <v>137</v>
      </c>
      <c r="B138" s="12">
        <v>3321685.7580689862</v>
      </c>
      <c r="G138" s="54">
        <v>137</v>
      </c>
      <c r="H138" s="94">
        <v>5851406.3836869197</v>
      </c>
    </row>
    <row r="139" spans="1:8" x14ac:dyDescent="0.3">
      <c r="A139" s="54">
        <v>138</v>
      </c>
      <c r="B139" s="12">
        <v>3432128.4722932535</v>
      </c>
      <c r="G139" s="54">
        <v>138</v>
      </c>
      <c r="H139" s="94">
        <v>5925687.7906550672</v>
      </c>
    </row>
    <row r="140" spans="1:8" x14ac:dyDescent="0.3">
      <c r="A140" s="54">
        <v>139</v>
      </c>
      <c r="B140" s="12">
        <v>3572628.7975618807</v>
      </c>
      <c r="G140" s="54">
        <v>139</v>
      </c>
      <c r="H140" s="94">
        <v>5914001.0888320869</v>
      </c>
    </row>
    <row r="141" spans="1:8" x14ac:dyDescent="0.3">
      <c r="A141" s="54">
        <v>140</v>
      </c>
      <c r="B141" s="12">
        <v>3368596.0664816299</v>
      </c>
      <c r="G141" s="54">
        <v>140</v>
      </c>
      <c r="H141" s="94">
        <v>5983402.9930854831</v>
      </c>
    </row>
    <row r="142" spans="1:8" x14ac:dyDescent="0.3">
      <c r="A142" s="54">
        <v>141</v>
      </c>
      <c r="B142" s="12">
        <v>3402185.9853546913</v>
      </c>
      <c r="G142" s="54">
        <v>141</v>
      </c>
      <c r="H142" s="94">
        <v>5832725.2834032634</v>
      </c>
    </row>
    <row r="143" spans="1:8" x14ac:dyDescent="0.3">
      <c r="A143" s="54">
        <v>142</v>
      </c>
      <c r="B143" s="12">
        <v>3813427.2002501078</v>
      </c>
      <c r="G143" s="54">
        <v>142</v>
      </c>
      <c r="H143" s="94">
        <v>5930994.8554839054</v>
      </c>
    </row>
    <row r="144" spans="1:8" x14ac:dyDescent="0.3">
      <c r="A144" s="54">
        <v>143</v>
      </c>
      <c r="B144" s="12">
        <v>3273094.1001920532</v>
      </c>
      <c r="G144" s="54">
        <v>143</v>
      </c>
      <c r="H144" s="94">
        <v>5816176.404112529</v>
      </c>
    </row>
    <row r="145" spans="1:8" x14ac:dyDescent="0.3">
      <c r="A145" s="54">
        <v>144</v>
      </c>
      <c r="B145" s="12">
        <v>3618973.0364668984</v>
      </c>
      <c r="G145" s="54">
        <v>144</v>
      </c>
      <c r="H145" s="94">
        <v>5911942.3476338508</v>
      </c>
    </row>
    <row r="146" spans="1:8" x14ac:dyDescent="0.3">
      <c r="A146" s="54">
        <v>145</v>
      </c>
      <c r="B146" s="12">
        <v>3276524.9819148225</v>
      </c>
      <c r="G146" s="54">
        <v>145</v>
      </c>
      <c r="H146" s="94">
        <v>5921815.0637759296</v>
      </c>
    </row>
    <row r="147" spans="1:8" x14ac:dyDescent="0.3">
      <c r="A147" s="54">
        <v>146</v>
      </c>
      <c r="B147" s="12">
        <v>3434984.030161818</v>
      </c>
      <c r="G147" s="54">
        <v>146</v>
      </c>
      <c r="H147" s="94">
        <v>5907357.0180832306</v>
      </c>
    </row>
    <row r="148" spans="1:8" x14ac:dyDescent="0.3">
      <c r="A148" s="54">
        <v>147</v>
      </c>
      <c r="B148" s="12">
        <v>3361788.5583522432</v>
      </c>
      <c r="G148" s="54">
        <v>147</v>
      </c>
      <c r="H148" s="94">
        <v>5859683.1909206212</v>
      </c>
    </row>
    <row r="149" spans="1:8" x14ac:dyDescent="0.3">
      <c r="A149" s="54">
        <v>148</v>
      </c>
      <c r="B149" s="12">
        <v>3672599.3286744235</v>
      </c>
      <c r="G149" s="54">
        <v>148</v>
      </c>
      <c r="H149" s="94">
        <v>5990029.2311015707</v>
      </c>
    </row>
    <row r="150" spans="1:8" x14ac:dyDescent="0.3">
      <c r="A150" s="54">
        <v>149</v>
      </c>
      <c r="B150" s="12">
        <v>3578815.5598236285</v>
      </c>
      <c r="G150" s="54">
        <v>149</v>
      </c>
      <c r="H150" s="94">
        <v>5781510.055707518</v>
      </c>
    </row>
    <row r="151" spans="1:8" x14ac:dyDescent="0.3">
      <c r="A151" s="54">
        <v>150</v>
      </c>
      <c r="B151" s="12">
        <v>3441006.1806908767</v>
      </c>
      <c r="G151" s="54">
        <v>150</v>
      </c>
      <c r="H151" s="94">
        <v>5895413.1241445504</v>
      </c>
    </row>
    <row r="152" spans="1:8" x14ac:dyDescent="0.3">
      <c r="A152" s="54">
        <v>151</v>
      </c>
      <c r="B152" s="12">
        <v>3322793.1181994709</v>
      </c>
      <c r="G152" s="54">
        <v>151</v>
      </c>
      <c r="H152" s="94">
        <v>5868176.1110258009</v>
      </c>
    </row>
    <row r="153" spans="1:8" x14ac:dyDescent="0.3">
      <c r="A153" s="54">
        <v>152</v>
      </c>
      <c r="B153" s="12">
        <v>3607624.2125790152</v>
      </c>
      <c r="G153" s="54">
        <v>152</v>
      </c>
      <c r="H153" s="94">
        <v>5988998.5242022267</v>
      </c>
    </row>
    <row r="154" spans="1:8" x14ac:dyDescent="0.3">
      <c r="A154" s="54">
        <v>153</v>
      </c>
      <c r="B154" s="12">
        <v>3344982.526782481</v>
      </c>
      <c r="G154" s="54">
        <v>153</v>
      </c>
      <c r="H154" s="94">
        <v>5920880.7826001719</v>
      </c>
    </row>
    <row r="155" spans="1:8" x14ac:dyDescent="0.3">
      <c r="A155" s="54">
        <v>154</v>
      </c>
      <c r="B155" s="12">
        <v>3402268.5856800587</v>
      </c>
      <c r="G155" s="54">
        <v>154</v>
      </c>
      <c r="H155" s="94">
        <v>5950304.1082542641</v>
      </c>
    </row>
    <row r="156" spans="1:8" x14ac:dyDescent="0.3">
      <c r="A156" s="54">
        <v>155</v>
      </c>
      <c r="B156" s="12">
        <v>3183067.2273097648</v>
      </c>
      <c r="G156" s="54">
        <v>155</v>
      </c>
      <c r="H156" s="94">
        <v>5898162.5837364737</v>
      </c>
    </row>
    <row r="157" spans="1:8" x14ac:dyDescent="0.3">
      <c r="A157" s="54">
        <v>156</v>
      </c>
      <c r="B157" s="12">
        <v>3353493.9203158133</v>
      </c>
      <c r="G157" s="54">
        <v>156</v>
      </c>
      <c r="H157" s="94">
        <v>5841067.0779025164</v>
      </c>
    </row>
    <row r="158" spans="1:8" x14ac:dyDescent="0.3">
      <c r="A158" s="54">
        <v>157</v>
      </c>
      <c r="B158" s="12">
        <v>3283703.1343500204</v>
      </c>
      <c r="G158" s="54">
        <v>157</v>
      </c>
      <c r="H158" s="94">
        <v>5872799.2927266899</v>
      </c>
    </row>
    <row r="159" spans="1:8" x14ac:dyDescent="0.3">
      <c r="A159" s="54">
        <v>158</v>
      </c>
      <c r="B159" s="12">
        <v>3291727.1537529458</v>
      </c>
      <c r="G159" s="54">
        <v>158</v>
      </c>
      <c r="H159" s="94">
        <v>5816544.8027168233</v>
      </c>
    </row>
    <row r="160" spans="1:8" x14ac:dyDescent="0.3">
      <c r="A160" s="54">
        <v>159</v>
      </c>
      <c r="B160" s="12">
        <v>3306211.1446201471</v>
      </c>
      <c r="G160" s="54">
        <v>159</v>
      </c>
      <c r="H160" s="94">
        <v>5930307.671170529</v>
      </c>
    </row>
    <row r="161" spans="1:8" x14ac:dyDescent="0.3">
      <c r="A161" s="54">
        <v>160</v>
      </c>
      <c r="B161" s="12">
        <v>3568731.5686343932</v>
      </c>
      <c r="G161" s="54">
        <v>160</v>
      </c>
      <c r="H161" s="94">
        <v>5881483.9730188884</v>
      </c>
    </row>
    <row r="162" spans="1:8" x14ac:dyDescent="0.3">
      <c r="A162" s="54">
        <v>161</v>
      </c>
      <c r="B162" s="12">
        <v>3353304.1866003773</v>
      </c>
      <c r="G162" s="54">
        <v>161</v>
      </c>
      <c r="H162" s="94">
        <v>5889628.6905167364</v>
      </c>
    </row>
    <row r="163" spans="1:8" x14ac:dyDescent="0.3">
      <c r="A163" s="54">
        <v>162</v>
      </c>
      <c r="B163" s="12">
        <v>3476559.9516426353</v>
      </c>
      <c r="G163" s="54">
        <v>162</v>
      </c>
      <c r="H163" s="94">
        <v>5792627.8247450851</v>
      </c>
    </row>
    <row r="164" spans="1:8" x14ac:dyDescent="0.3">
      <c r="A164" s="54">
        <v>163</v>
      </c>
      <c r="B164" s="12">
        <v>3347583.7221544716</v>
      </c>
      <c r="G164" s="54">
        <v>163</v>
      </c>
      <c r="H164" s="94">
        <v>5939808.2780003995</v>
      </c>
    </row>
    <row r="165" spans="1:8" x14ac:dyDescent="0.3">
      <c r="A165" s="54">
        <v>164</v>
      </c>
      <c r="B165" s="12">
        <v>3684550.8831540425</v>
      </c>
      <c r="G165" s="54">
        <v>164</v>
      </c>
      <c r="H165" s="94">
        <v>5911810.9980379613</v>
      </c>
    </row>
    <row r="166" spans="1:8" x14ac:dyDescent="0.3">
      <c r="A166" s="54">
        <v>165</v>
      </c>
      <c r="B166" s="12">
        <v>3541684.934063348</v>
      </c>
      <c r="G166" s="54">
        <v>165</v>
      </c>
      <c r="H166" s="94">
        <v>5872177.7055298388</v>
      </c>
    </row>
    <row r="167" spans="1:8" x14ac:dyDescent="0.3">
      <c r="A167" s="54">
        <v>166</v>
      </c>
      <c r="B167" s="12">
        <v>3649614.5240677013</v>
      </c>
      <c r="G167" s="54">
        <v>166</v>
      </c>
      <c r="H167" s="94">
        <v>5961803.7625026219</v>
      </c>
    </row>
    <row r="168" spans="1:8" x14ac:dyDescent="0.3">
      <c r="A168" s="54">
        <v>167</v>
      </c>
      <c r="B168" s="12">
        <v>3150370.8054608535</v>
      </c>
      <c r="G168" s="54">
        <v>167</v>
      </c>
      <c r="H168" s="94">
        <v>5945567.7927628057</v>
      </c>
    </row>
    <row r="169" spans="1:8" x14ac:dyDescent="0.3">
      <c r="A169" s="54">
        <v>168</v>
      </c>
      <c r="B169" s="12">
        <v>3269190.2752738497</v>
      </c>
      <c r="G169" s="54">
        <v>168</v>
      </c>
      <c r="H169" s="94">
        <v>5813455.2253327584</v>
      </c>
    </row>
    <row r="170" spans="1:8" x14ac:dyDescent="0.3">
      <c r="A170" s="54">
        <v>169</v>
      </c>
      <c r="B170" s="12">
        <v>3490828.7028268087</v>
      </c>
      <c r="G170" s="54">
        <v>169</v>
      </c>
      <c r="H170" s="94">
        <v>5814258.462046423</v>
      </c>
    </row>
    <row r="171" spans="1:8" x14ac:dyDescent="0.3">
      <c r="A171" s="54">
        <v>170</v>
      </c>
      <c r="B171" s="12">
        <v>3299135.4846631554</v>
      </c>
      <c r="G171" s="54">
        <v>170</v>
      </c>
      <c r="H171" s="94">
        <v>6022062.7954345196</v>
      </c>
    </row>
    <row r="172" spans="1:8" x14ac:dyDescent="0.3">
      <c r="A172" s="54">
        <v>171</v>
      </c>
      <c r="B172" s="12">
        <v>3386042.4613645156</v>
      </c>
      <c r="G172" s="54">
        <v>171</v>
      </c>
      <c r="H172" s="94">
        <v>5941832.76818508</v>
      </c>
    </row>
    <row r="173" spans="1:8" x14ac:dyDescent="0.3">
      <c r="A173" s="54">
        <v>172</v>
      </c>
      <c r="B173" s="12">
        <v>3428926.5031303093</v>
      </c>
      <c r="G173" s="54">
        <v>172</v>
      </c>
      <c r="H173" s="94">
        <v>5968456.3678639475</v>
      </c>
    </row>
    <row r="174" spans="1:8" x14ac:dyDescent="0.3">
      <c r="A174" s="54">
        <v>173</v>
      </c>
      <c r="B174" s="12">
        <v>3388036.9834963484</v>
      </c>
      <c r="G174" s="54">
        <v>173</v>
      </c>
      <c r="H174" s="94">
        <v>5818209.418776961</v>
      </c>
    </row>
    <row r="175" spans="1:8" x14ac:dyDescent="0.3">
      <c r="A175" s="54">
        <v>174</v>
      </c>
      <c r="B175" s="12">
        <v>3558332.8357695378</v>
      </c>
      <c r="G175" s="54">
        <v>174</v>
      </c>
      <c r="H175" s="94">
        <v>5930282.065653583</v>
      </c>
    </row>
    <row r="176" spans="1:8" x14ac:dyDescent="0.3">
      <c r="A176" s="54">
        <v>175</v>
      </c>
      <c r="B176" s="12">
        <v>3272189.7703088401</v>
      </c>
      <c r="G176" s="54">
        <v>175</v>
      </c>
      <c r="H176" s="94">
        <v>5819076.7205437096</v>
      </c>
    </row>
    <row r="177" spans="1:8" x14ac:dyDescent="0.3">
      <c r="A177" s="54">
        <v>176</v>
      </c>
      <c r="B177" s="12">
        <v>3535022.7463421193</v>
      </c>
      <c r="G177" s="54">
        <v>176</v>
      </c>
      <c r="H177" s="94">
        <v>5966269.2732599033</v>
      </c>
    </row>
    <row r="178" spans="1:8" x14ac:dyDescent="0.3">
      <c r="A178" s="54">
        <v>177</v>
      </c>
      <c r="B178" s="12">
        <v>3389333.9637507373</v>
      </c>
      <c r="G178" s="54">
        <v>177</v>
      </c>
      <c r="H178" s="94">
        <v>5890521.6096548261</v>
      </c>
    </row>
    <row r="179" spans="1:8" x14ac:dyDescent="0.3">
      <c r="A179" s="54">
        <v>178</v>
      </c>
      <c r="B179" s="12">
        <v>3102442.6140358625</v>
      </c>
      <c r="G179" s="54">
        <v>178</v>
      </c>
      <c r="H179" s="94">
        <v>5753512.2538529662</v>
      </c>
    </row>
    <row r="180" spans="1:8" x14ac:dyDescent="0.3">
      <c r="A180" s="54">
        <v>179</v>
      </c>
      <c r="B180" s="12">
        <v>3535750.4943341003</v>
      </c>
      <c r="G180" s="54">
        <v>179</v>
      </c>
      <c r="H180" s="94">
        <v>5878797.2991452245</v>
      </c>
    </row>
    <row r="181" spans="1:8" x14ac:dyDescent="0.3">
      <c r="A181" s="54">
        <v>180</v>
      </c>
      <c r="B181" s="12">
        <v>3573014.9630137272</v>
      </c>
      <c r="G181" s="54">
        <v>180</v>
      </c>
      <c r="H181" s="94">
        <v>5815560.8747070963</v>
      </c>
    </row>
    <row r="182" spans="1:8" x14ac:dyDescent="0.3">
      <c r="A182" s="54">
        <v>181</v>
      </c>
      <c r="B182" s="12">
        <v>3346817.87751198</v>
      </c>
      <c r="G182" s="54">
        <v>181</v>
      </c>
      <c r="H182" s="94">
        <v>5952561.5422890773</v>
      </c>
    </row>
    <row r="183" spans="1:8" x14ac:dyDescent="0.3">
      <c r="A183" s="54">
        <v>182</v>
      </c>
      <c r="B183" s="12">
        <v>3272657.9853951028</v>
      </c>
      <c r="G183" s="54">
        <v>182</v>
      </c>
      <c r="H183" s="94">
        <v>5882955.7674363023</v>
      </c>
    </row>
    <row r="184" spans="1:8" x14ac:dyDescent="0.3">
      <c r="A184" s="54">
        <v>183</v>
      </c>
      <c r="B184" s="12">
        <v>3632485.0905178627</v>
      </c>
      <c r="G184" s="54">
        <v>183</v>
      </c>
      <c r="H184" s="94">
        <v>5876826.1785099842</v>
      </c>
    </row>
    <row r="185" spans="1:8" x14ac:dyDescent="0.3">
      <c r="A185" s="54">
        <v>184</v>
      </c>
      <c r="B185" s="12">
        <v>3567990.0379108083</v>
      </c>
      <c r="G185" s="54">
        <v>184</v>
      </c>
      <c r="H185" s="94">
        <v>5869847.5212845402</v>
      </c>
    </row>
    <row r="186" spans="1:8" x14ac:dyDescent="0.3">
      <c r="A186" s="54">
        <v>185</v>
      </c>
      <c r="B186" s="12">
        <v>3540944.616752977</v>
      </c>
      <c r="G186" s="54">
        <v>185</v>
      </c>
      <c r="H186" s="94">
        <v>5907291.4730610885</v>
      </c>
    </row>
    <row r="187" spans="1:8" x14ac:dyDescent="0.3">
      <c r="A187" s="54">
        <v>186</v>
      </c>
      <c r="B187" s="12">
        <v>3420626.5218346789</v>
      </c>
      <c r="G187" s="54">
        <v>186</v>
      </c>
      <c r="H187" s="94">
        <v>5707451.2157871369</v>
      </c>
    </row>
    <row r="188" spans="1:8" x14ac:dyDescent="0.3">
      <c r="A188" s="54">
        <v>187</v>
      </c>
      <c r="B188" s="12">
        <v>3662445.3395869969</v>
      </c>
      <c r="G188" s="54">
        <v>187</v>
      </c>
      <c r="H188" s="94">
        <v>5926526.1947759381</v>
      </c>
    </row>
    <row r="189" spans="1:8" x14ac:dyDescent="0.3">
      <c r="A189" s="54">
        <v>188</v>
      </c>
      <c r="B189" s="12">
        <v>3380042.6533976514</v>
      </c>
      <c r="G189" s="54">
        <v>188</v>
      </c>
      <c r="H189" s="94">
        <v>5862397.5684404038</v>
      </c>
    </row>
    <row r="190" spans="1:8" x14ac:dyDescent="0.3">
      <c r="A190" s="54">
        <v>189</v>
      </c>
      <c r="B190" s="12">
        <v>3408100.3145916741</v>
      </c>
      <c r="G190" s="54">
        <v>189</v>
      </c>
      <c r="H190" s="94">
        <v>5868915.0152553106</v>
      </c>
    </row>
    <row r="191" spans="1:8" x14ac:dyDescent="0.3">
      <c r="A191" s="54">
        <v>190</v>
      </c>
      <c r="B191" s="12">
        <v>3242437.3019174822</v>
      </c>
      <c r="G191" s="54">
        <v>190</v>
      </c>
      <c r="H191" s="94">
        <v>5853293.0848577982</v>
      </c>
    </row>
    <row r="192" spans="1:8" x14ac:dyDescent="0.3">
      <c r="A192" s="54">
        <v>191</v>
      </c>
      <c r="B192" s="12">
        <v>3225054.6478017266</v>
      </c>
      <c r="G192" s="54">
        <v>191</v>
      </c>
      <c r="H192" s="94">
        <v>5904193.6606131783</v>
      </c>
    </row>
    <row r="193" spans="1:8" x14ac:dyDescent="0.3">
      <c r="A193" s="54">
        <v>192</v>
      </c>
      <c r="B193" s="12">
        <v>3481832.6328438707</v>
      </c>
      <c r="G193" s="54">
        <v>192</v>
      </c>
      <c r="H193" s="94">
        <v>5826891.5123174628</v>
      </c>
    </row>
    <row r="194" spans="1:8" x14ac:dyDescent="0.3">
      <c r="A194" s="54">
        <v>193</v>
      </c>
      <c r="B194" s="12">
        <v>3409218.4918822697</v>
      </c>
      <c r="G194" s="54">
        <v>193</v>
      </c>
      <c r="H194" s="94">
        <v>5898234.8753783377</v>
      </c>
    </row>
    <row r="195" spans="1:8" x14ac:dyDescent="0.3">
      <c r="A195" s="54">
        <v>194</v>
      </c>
      <c r="B195" s="12">
        <v>3141580.6311508832</v>
      </c>
      <c r="G195" s="54">
        <v>194</v>
      </c>
      <c r="H195" s="94">
        <v>5905693.1993221072</v>
      </c>
    </row>
    <row r="196" spans="1:8" x14ac:dyDescent="0.3">
      <c r="A196" s="54">
        <v>195</v>
      </c>
      <c r="B196" s="12">
        <v>3424120.2507536854</v>
      </c>
      <c r="G196" s="54">
        <v>195</v>
      </c>
      <c r="H196" s="94">
        <v>5785496.025557071</v>
      </c>
    </row>
    <row r="197" spans="1:8" x14ac:dyDescent="0.3">
      <c r="A197" s="54">
        <v>196</v>
      </c>
      <c r="B197" s="12">
        <v>3454972.3514836533</v>
      </c>
      <c r="G197" s="54">
        <v>196</v>
      </c>
      <c r="H197" s="94">
        <v>5933053.0016850289</v>
      </c>
    </row>
    <row r="198" spans="1:8" x14ac:dyDescent="0.3">
      <c r="A198" s="54">
        <v>197</v>
      </c>
      <c r="B198" s="12">
        <v>3606658.2271707184</v>
      </c>
      <c r="G198" s="54">
        <v>197</v>
      </c>
      <c r="H198" s="94">
        <v>5768762.265901844</v>
      </c>
    </row>
    <row r="199" spans="1:8" x14ac:dyDescent="0.3">
      <c r="A199" s="54">
        <v>198</v>
      </c>
      <c r="B199" s="12">
        <v>3535028.3328877296</v>
      </c>
      <c r="G199" s="54">
        <v>198</v>
      </c>
      <c r="H199" s="94">
        <v>5919089.6484400574</v>
      </c>
    </row>
    <row r="200" spans="1:8" x14ac:dyDescent="0.3">
      <c r="A200" s="54">
        <v>199</v>
      </c>
      <c r="B200" s="12">
        <v>3517503.4121599388</v>
      </c>
      <c r="G200" s="54">
        <v>199</v>
      </c>
      <c r="H200" s="94">
        <v>5873618.5611673202</v>
      </c>
    </row>
    <row r="201" spans="1:8" x14ac:dyDescent="0.3">
      <c r="A201" s="54">
        <v>200</v>
      </c>
      <c r="B201" s="12">
        <v>3539231.1965023894</v>
      </c>
      <c r="G201" s="54">
        <v>200</v>
      </c>
      <c r="H201" s="94">
        <v>5929464.5665965397</v>
      </c>
    </row>
    <row r="202" spans="1:8" x14ac:dyDescent="0.3">
      <c r="A202" s="54">
        <v>201</v>
      </c>
      <c r="B202" s="12">
        <v>3305845.9063590392</v>
      </c>
      <c r="G202" s="54">
        <v>201</v>
      </c>
      <c r="H202" s="94">
        <v>5813065.2555390745</v>
      </c>
    </row>
    <row r="203" spans="1:8" x14ac:dyDescent="0.3">
      <c r="A203" s="54">
        <v>202</v>
      </c>
      <c r="B203" s="12">
        <v>3269935.383696828</v>
      </c>
      <c r="G203" s="54">
        <v>202</v>
      </c>
      <c r="H203" s="94">
        <v>5878747.4216774646</v>
      </c>
    </row>
    <row r="204" spans="1:8" x14ac:dyDescent="0.3">
      <c r="A204" s="54">
        <v>203</v>
      </c>
      <c r="B204" s="12">
        <v>3375199.7581601515</v>
      </c>
      <c r="G204" s="54">
        <v>203</v>
      </c>
      <c r="H204" s="94">
        <v>5824627.4610047825</v>
      </c>
    </row>
    <row r="205" spans="1:8" x14ac:dyDescent="0.3">
      <c r="A205" s="54">
        <v>204</v>
      </c>
      <c r="B205" s="12">
        <v>3304149.1876944862</v>
      </c>
      <c r="G205" s="54">
        <v>204</v>
      </c>
      <c r="H205" s="94">
        <v>5914760.8025705507</v>
      </c>
    </row>
    <row r="206" spans="1:8" x14ac:dyDescent="0.3">
      <c r="A206" s="54">
        <v>205</v>
      </c>
      <c r="B206" s="12">
        <v>3652109.3221374084</v>
      </c>
      <c r="G206" s="54">
        <v>205</v>
      </c>
      <c r="H206" s="94">
        <v>5990212.7206846261</v>
      </c>
    </row>
    <row r="207" spans="1:8" x14ac:dyDescent="0.3">
      <c r="A207" s="54">
        <v>206</v>
      </c>
      <c r="B207" s="12">
        <v>3628314.7303508744</v>
      </c>
      <c r="G207" s="54">
        <v>206</v>
      </c>
      <c r="H207" s="94">
        <v>5984863.9784614826</v>
      </c>
    </row>
    <row r="208" spans="1:8" x14ac:dyDescent="0.3">
      <c r="A208" s="54">
        <v>207</v>
      </c>
      <c r="B208" s="12">
        <v>3393681.3268249389</v>
      </c>
      <c r="G208" s="54">
        <v>207</v>
      </c>
      <c r="H208" s="94">
        <v>5860706.4075857447</v>
      </c>
    </row>
    <row r="209" spans="1:8" x14ac:dyDescent="0.3">
      <c r="A209" s="54">
        <v>208</v>
      </c>
      <c r="B209" s="12">
        <v>3363765.6614607433</v>
      </c>
      <c r="G209" s="54">
        <v>208</v>
      </c>
      <c r="H209" s="94">
        <v>5817456.4779684525</v>
      </c>
    </row>
    <row r="210" spans="1:8" x14ac:dyDescent="0.3">
      <c r="A210" s="54">
        <v>209</v>
      </c>
      <c r="B210" s="12">
        <v>3497526.1374351503</v>
      </c>
      <c r="G210" s="54">
        <v>209</v>
      </c>
      <c r="H210" s="94">
        <v>5821419.737363304</v>
      </c>
    </row>
    <row r="211" spans="1:8" x14ac:dyDescent="0.3">
      <c r="A211" s="54">
        <v>210</v>
      </c>
      <c r="B211" s="12">
        <v>3541811.907933665</v>
      </c>
      <c r="G211" s="54">
        <v>210</v>
      </c>
      <c r="H211" s="94">
        <v>5836971.7756179972</v>
      </c>
    </row>
    <row r="212" spans="1:8" x14ac:dyDescent="0.3">
      <c r="A212" s="54">
        <v>211</v>
      </c>
      <c r="B212" s="12">
        <v>3568068.1167489109</v>
      </c>
      <c r="G212" s="54">
        <v>211</v>
      </c>
      <c r="H212" s="94">
        <v>5755926.341902025</v>
      </c>
    </row>
    <row r="213" spans="1:8" x14ac:dyDescent="0.3">
      <c r="A213" s="54">
        <v>212</v>
      </c>
      <c r="B213" s="12">
        <v>3592530.0679956255</v>
      </c>
      <c r="G213" s="54">
        <v>212</v>
      </c>
      <c r="H213" s="94">
        <v>5816012.3087615017</v>
      </c>
    </row>
    <row r="214" spans="1:8" x14ac:dyDescent="0.3">
      <c r="A214" s="54">
        <v>213</v>
      </c>
      <c r="B214" s="12">
        <v>3789230.1069934745</v>
      </c>
      <c r="G214" s="54">
        <v>213</v>
      </c>
      <c r="H214" s="94">
        <v>5888711.1065442199</v>
      </c>
    </row>
    <row r="215" spans="1:8" x14ac:dyDescent="0.3">
      <c r="A215" s="54">
        <v>214</v>
      </c>
      <c r="B215" s="12">
        <v>3758184.3398019806</v>
      </c>
      <c r="G215" s="54">
        <v>214</v>
      </c>
      <c r="H215" s="94">
        <v>5906819.0785780279</v>
      </c>
    </row>
    <row r="216" spans="1:8" x14ac:dyDescent="0.3">
      <c r="A216" s="54">
        <v>215</v>
      </c>
      <c r="B216" s="12">
        <v>3322030.6149654775</v>
      </c>
      <c r="G216" s="54">
        <v>215</v>
      </c>
      <c r="H216" s="94">
        <v>5872695.6795287328</v>
      </c>
    </row>
    <row r="217" spans="1:8" x14ac:dyDescent="0.3">
      <c r="A217" s="54">
        <v>216</v>
      </c>
      <c r="B217" s="12">
        <v>3482791.2746650535</v>
      </c>
      <c r="G217" s="54">
        <v>216</v>
      </c>
      <c r="H217" s="94">
        <v>5879414.71617446</v>
      </c>
    </row>
    <row r="218" spans="1:8" x14ac:dyDescent="0.3">
      <c r="A218" s="54">
        <v>217</v>
      </c>
      <c r="B218" s="12">
        <v>3480653.3387915697</v>
      </c>
      <c r="G218" s="54">
        <v>217</v>
      </c>
      <c r="H218" s="94">
        <v>5819479.9543282269</v>
      </c>
    </row>
    <row r="219" spans="1:8" x14ac:dyDescent="0.3">
      <c r="A219" s="54">
        <v>218</v>
      </c>
      <c r="B219" s="12">
        <v>3384541.0307128713</v>
      </c>
      <c r="G219" s="54">
        <v>218</v>
      </c>
      <c r="H219" s="94">
        <v>5994009.2953496492</v>
      </c>
    </row>
    <row r="220" spans="1:8" x14ac:dyDescent="0.3">
      <c r="A220" s="54">
        <v>219</v>
      </c>
      <c r="B220" s="12">
        <v>3471565.418709314</v>
      </c>
      <c r="G220" s="54">
        <v>219</v>
      </c>
      <c r="H220" s="94">
        <v>5880296.3148164917</v>
      </c>
    </row>
    <row r="221" spans="1:8" x14ac:dyDescent="0.3">
      <c r="A221" s="54">
        <v>220</v>
      </c>
      <c r="B221" s="12">
        <v>3474912.798189166</v>
      </c>
      <c r="G221" s="54">
        <v>220</v>
      </c>
      <c r="H221" s="94">
        <v>5840554.440919823</v>
      </c>
    </row>
    <row r="222" spans="1:8" x14ac:dyDescent="0.3">
      <c r="A222" s="54">
        <v>221</v>
      </c>
      <c r="B222" s="12">
        <v>3401336.3310265006</v>
      </c>
      <c r="G222" s="54">
        <v>221</v>
      </c>
      <c r="H222" s="94">
        <v>5862187.8343312591</v>
      </c>
    </row>
    <row r="223" spans="1:8" x14ac:dyDescent="0.3">
      <c r="A223" s="54">
        <v>222</v>
      </c>
      <c r="B223" s="12">
        <v>3540665.5135814529</v>
      </c>
      <c r="G223" s="54">
        <v>222</v>
      </c>
      <c r="H223" s="94">
        <v>5741008.8374207579</v>
      </c>
    </row>
    <row r="224" spans="1:8" x14ac:dyDescent="0.3">
      <c r="A224" s="54">
        <v>223</v>
      </c>
      <c r="B224" s="12">
        <v>3367242.3050382626</v>
      </c>
      <c r="G224" s="54">
        <v>223</v>
      </c>
      <c r="H224" s="94">
        <v>5999899.9704070874</v>
      </c>
    </row>
    <row r="225" spans="1:8" x14ac:dyDescent="0.3">
      <c r="A225" s="54">
        <v>224</v>
      </c>
      <c r="B225" s="12">
        <v>3592508.2981150988</v>
      </c>
      <c r="G225" s="54">
        <v>224</v>
      </c>
      <c r="H225" s="94">
        <v>5952979.1136229271</v>
      </c>
    </row>
    <row r="226" spans="1:8" x14ac:dyDescent="0.3">
      <c r="A226" s="54">
        <v>225</v>
      </c>
      <c r="B226" s="12">
        <v>3319504.4397870791</v>
      </c>
      <c r="G226" s="54">
        <v>225</v>
      </c>
      <c r="H226" s="94">
        <v>5779947.7365738535</v>
      </c>
    </row>
    <row r="227" spans="1:8" x14ac:dyDescent="0.3">
      <c r="A227" s="54">
        <v>226</v>
      </c>
      <c r="B227" s="12">
        <v>3576337.2145306338</v>
      </c>
      <c r="G227" s="54">
        <v>226</v>
      </c>
      <c r="H227" s="94">
        <v>5817131.9732344085</v>
      </c>
    </row>
    <row r="228" spans="1:8" x14ac:dyDescent="0.3">
      <c r="A228" s="54">
        <v>227</v>
      </c>
      <c r="B228" s="12">
        <v>3413720.3411429022</v>
      </c>
      <c r="G228" s="54">
        <v>227</v>
      </c>
      <c r="H228" s="94">
        <v>5918653.607462164</v>
      </c>
    </row>
    <row r="229" spans="1:8" x14ac:dyDescent="0.3">
      <c r="A229" s="54">
        <v>228</v>
      </c>
      <c r="B229" s="12">
        <v>3477172.825769105</v>
      </c>
      <c r="G229" s="54">
        <v>228</v>
      </c>
      <c r="H229" s="94">
        <v>5920052.5982510895</v>
      </c>
    </row>
    <row r="230" spans="1:8" x14ac:dyDescent="0.3">
      <c r="A230" s="54">
        <v>229</v>
      </c>
      <c r="B230" s="12">
        <v>3386863.2103975136</v>
      </c>
      <c r="G230" s="54">
        <v>229</v>
      </c>
      <c r="H230" s="94">
        <v>5762693.7131170779</v>
      </c>
    </row>
    <row r="231" spans="1:8" x14ac:dyDescent="0.3">
      <c r="A231" s="54">
        <v>230</v>
      </c>
      <c r="B231" s="12">
        <v>3242974.4336063676</v>
      </c>
      <c r="G231" s="54">
        <v>230</v>
      </c>
      <c r="H231" s="94">
        <v>5804395.8442689748</v>
      </c>
    </row>
    <row r="232" spans="1:8" x14ac:dyDescent="0.3">
      <c r="A232" s="54">
        <v>231</v>
      </c>
      <c r="B232" s="12">
        <v>3569232.0942353485</v>
      </c>
      <c r="G232" s="54">
        <v>231</v>
      </c>
      <c r="H232" s="94">
        <v>5919685.7762962384</v>
      </c>
    </row>
    <row r="233" spans="1:8" x14ac:dyDescent="0.3">
      <c r="A233" s="54">
        <v>232</v>
      </c>
      <c r="B233" s="12">
        <v>3314824.1214134633</v>
      </c>
      <c r="G233" s="54">
        <v>232</v>
      </c>
      <c r="H233" s="94">
        <v>5900413.5864397893</v>
      </c>
    </row>
    <row r="234" spans="1:8" x14ac:dyDescent="0.3">
      <c r="A234" s="54">
        <v>233</v>
      </c>
      <c r="B234" s="12">
        <v>3801854.6453478951</v>
      </c>
      <c r="G234" s="54">
        <v>233</v>
      </c>
      <c r="H234" s="94">
        <v>5785373.9881541785</v>
      </c>
    </row>
    <row r="235" spans="1:8" x14ac:dyDescent="0.3">
      <c r="A235" s="54">
        <v>234</v>
      </c>
      <c r="B235" s="12">
        <v>3373049.2473161537</v>
      </c>
      <c r="G235" s="54">
        <v>234</v>
      </c>
      <c r="H235" s="94">
        <v>5806077.5719536347</v>
      </c>
    </row>
    <row r="236" spans="1:8" x14ac:dyDescent="0.3">
      <c r="A236" s="54">
        <v>235</v>
      </c>
      <c r="B236" s="12">
        <v>3606887.5111472718</v>
      </c>
      <c r="G236" s="54">
        <v>235</v>
      </c>
      <c r="H236" s="94">
        <v>5722582.0066314097</v>
      </c>
    </row>
    <row r="237" spans="1:8" x14ac:dyDescent="0.3">
      <c r="A237" s="54">
        <v>236</v>
      </c>
      <c r="B237" s="12">
        <v>3869784.8581166575</v>
      </c>
      <c r="G237" s="54">
        <v>236</v>
      </c>
      <c r="H237" s="94">
        <v>5936372.8133456251</v>
      </c>
    </row>
    <row r="238" spans="1:8" x14ac:dyDescent="0.3">
      <c r="A238" s="54">
        <v>237</v>
      </c>
      <c r="B238" s="12">
        <v>3630317.1954706768</v>
      </c>
      <c r="G238" s="54">
        <v>237</v>
      </c>
      <c r="H238" s="94">
        <v>5864088.0926599242</v>
      </c>
    </row>
    <row r="239" spans="1:8" x14ac:dyDescent="0.3">
      <c r="A239" s="54">
        <v>238</v>
      </c>
      <c r="B239" s="12">
        <v>3539334.7954519778</v>
      </c>
      <c r="G239" s="54">
        <v>238</v>
      </c>
      <c r="H239" s="94">
        <v>5971894.4166657133</v>
      </c>
    </row>
    <row r="240" spans="1:8" x14ac:dyDescent="0.3">
      <c r="A240" s="54">
        <v>239</v>
      </c>
      <c r="B240" s="12">
        <v>3622071.8477103226</v>
      </c>
      <c r="G240" s="54">
        <v>239</v>
      </c>
      <c r="H240" s="94">
        <v>5805091.0513474224</v>
      </c>
    </row>
    <row r="241" spans="1:8" x14ac:dyDescent="0.3">
      <c r="A241" s="54">
        <v>240</v>
      </c>
      <c r="B241" s="12">
        <v>3376304.2092154915</v>
      </c>
      <c r="G241" s="54">
        <v>240</v>
      </c>
      <c r="H241" s="94">
        <v>5784685.1094472427</v>
      </c>
    </row>
    <row r="242" spans="1:8" x14ac:dyDescent="0.3">
      <c r="A242" s="54">
        <v>241</v>
      </c>
      <c r="B242" s="12">
        <v>3015712.8227106803</v>
      </c>
      <c r="G242" s="54">
        <v>241</v>
      </c>
      <c r="H242" s="94">
        <v>5845976.4105923893</v>
      </c>
    </row>
    <row r="243" spans="1:8" x14ac:dyDescent="0.3">
      <c r="A243" s="54">
        <v>242</v>
      </c>
      <c r="B243" s="12">
        <v>3424671.094759569</v>
      </c>
      <c r="G243" s="54">
        <v>242</v>
      </c>
      <c r="H243" s="94">
        <v>5914587.3711538501</v>
      </c>
    </row>
    <row r="244" spans="1:8" x14ac:dyDescent="0.3">
      <c r="A244" s="54">
        <v>243</v>
      </c>
      <c r="B244" s="12">
        <v>3330227.6681349021</v>
      </c>
      <c r="G244" s="54">
        <v>243</v>
      </c>
      <c r="H244" s="94">
        <v>5901241.7392624263</v>
      </c>
    </row>
    <row r="245" spans="1:8" x14ac:dyDescent="0.3">
      <c r="A245" s="54">
        <v>244</v>
      </c>
      <c r="B245" s="12">
        <v>3370241.3064795402</v>
      </c>
      <c r="G245" s="54">
        <v>244</v>
      </c>
      <c r="H245" s="94">
        <v>5897418.2010640446</v>
      </c>
    </row>
    <row r="246" spans="1:8" x14ac:dyDescent="0.3">
      <c r="A246" s="54">
        <v>245</v>
      </c>
      <c r="B246" s="12">
        <v>3302730.8021644214</v>
      </c>
      <c r="G246" s="54">
        <v>245</v>
      </c>
      <c r="H246" s="94">
        <v>5922673.58856095</v>
      </c>
    </row>
    <row r="247" spans="1:8" x14ac:dyDescent="0.3">
      <c r="A247" s="54">
        <v>246</v>
      </c>
      <c r="B247" s="12">
        <v>3655338.3143667118</v>
      </c>
      <c r="G247" s="54">
        <v>246</v>
      </c>
      <c r="H247" s="94">
        <v>5739983.5360932341</v>
      </c>
    </row>
    <row r="248" spans="1:8" x14ac:dyDescent="0.3">
      <c r="A248" s="54">
        <v>247</v>
      </c>
      <c r="B248" s="12">
        <v>3312624.7470085318</v>
      </c>
      <c r="G248" s="54">
        <v>247</v>
      </c>
      <c r="H248" s="94">
        <v>5813529.6837446252</v>
      </c>
    </row>
    <row r="249" spans="1:8" x14ac:dyDescent="0.3">
      <c r="A249" s="54">
        <v>248</v>
      </c>
      <c r="B249" s="12">
        <v>3216679.703518678</v>
      </c>
      <c r="G249" s="54">
        <v>248</v>
      </c>
      <c r="H249" s="94">
        <v>5806348.901423784</v>
      </c>
    </row>
    <row r="250" spans="1:8" x14ac:dyDescent="0.3">
      <c r="A250" s="54">
        <v>249</v>
      </c>
      <c r="B250" s="12">
        <v>3433329.0935452869</v>
      </c>
      <c r="G250" s="54">
        <v>249</v>
      </c>
      <c r="H250" s="94">
        <v>5867401.7960679801</v>
      </c>
    </row>
    <row r="251" spans="1:8" x14ac:dyDescent="0.3">
      <c r="A251" s="54">
        <v>250</v>
      </c>
      <c r="B251" s="12">
        <v>3483444.509582724</v>
      </c>
      <c r="G251" s="54">
        <v>250</v>
      </c>
      <c r="H251" s="94">
        <v>5724396.8528206227</v>
      </c>
    </row>
    <row r="252" spans="1:8" x14ac:dyDescent="0.3">
      <c r="A252" s="54">
        <v>251</v>
      </c>
      <c r="B252" s="12">
        <v>3338307.1811315101</v>
      </c>
      <c r="G252" s="54">
        <v>251</v>
      </c>
      <c r="H252" s="94">
        <v>5915868.128316951</v>
      </c>
    </row>
    <row r="253" spans="1:8" x14ac:dyDescent="0.3">
      <c r="A253" s="54">
        <v>252</v>
      </c>
      <c r="B253" s="12">
        <v>3438044.385311076</v>
      </c>
      <c r="G253" s="54">
        <v>252</v>
      </c>
      <c r="H253" s="94">
        <v>5756670.8891708236</v>
      </c>
    </row>
    <row r="254" spans="1:8" x14ac:dyDescent="0.3">
      <c r="A254" s="54">
        <v>253</v>
      </c>
      <c r="B254" s="12">
        <v>3577412.2689990918</v>
      </c>
      <c r="G254" s="54">
        <v>253</v>
      </c>
      <c r="H254" s="94">
        <v>5885917.1288627014</v>
      </c>
    </row>
    <row r="255" spans="1:8" x14ac:dyDescent="0.3">
      <c r="A255" s="54">
        <v>254</v>
      </c>
      <c r="B255" s="12">
        <v>3282737.1204194045</v>
      </c>
      <c r="G255" s="54">
        <v>254</v>
      </c>
      <c r="H255" s="94">
        <v>5805191.610252751</v>
      </c>
    </row>
    <row r="256" spans="1:8" x14ac:dyDescent="0.3">
      <c r="A256" s="54">
        <v>255</v>
      </c>
      <c r="B256" s="12">
        <v>3411133.5869931174</v>
      </c>
      <c r="G256" s="54">
        <v>255</v>
      </c>
      <c r="H256" s="94">
        <v>5833829.4562130114</v>
      </c>
    </row>
    <row r="257" spans="1:8" x14ac:dyDescent="0.3">
      <c r="A257" s="54">
        <v>256</v>
      </c>
      <c r="B257" s="12">
        <v>3507421.6054685842</v>
      </c>
      <c r="G257" s="54">
        <v>256</v>
      </c>
      <c r="H257" s="94">
        <v>5859132.8609288326</v>
      </c>
    </row>
    <row r="258" spans="1:8" x14ac:dyDescent="0.3">
      <c r="A258" s="54">
        <v>257</v>
      </c>
      <c r="B258" s="12">
        <v>3425552.0073163114</v>
      </c>
      <c r="G258" s="54">
        <v>257</v>
      </c>
      <c r="H258" s="94">
        <v>5860963.8624412753</v>
      </c>
    </row>
    <row r="259" spans="1:8" x14ac:dyDescent="0.3">
      <c r="A259" s="54">
        <v>258</v>
      </c>
      <c r="B259" s="12">
        <v>3216717.9092440791</v>
      </c>
      <c r="G259" s="54">
        <v>258</v>
      </c>
      <c r="H259" s="94">
        <v>5976627.0041267117</v>
      </c>
    </row>
    <row r="260" spans="1:8" x14ac:dyDescent="0.3">
      <c r="A260" s="54">
        <v>259</v>
      </c>
      <c r="B260" s="12">
        <v>3703942.1254241746</v>
      </c>
      <c r="G260" s="54">
        <v>259</v>
      </c>
      <c r="H260" s="94">
        <v>5905256.3697474301</v>
      </c>
    </row>
    <row r="261" spans="1:8" x14ac:dyDescent="0.3">
      <c r="A261" s="54">
        <v>260</v>
      </c>
      <c r="B261" s="12">
        <v>3361820.2707682555</v>
      </c>
      <c r="G261" s="54">
        <v>260</v>
      </c>
      <c r="H261" s="94">
        <v>5834656.7899644598</v>
      </c>
    </row>
    <row r="262" spans="1:8" x14ac:dyDescent="0.3">
      <c r="A262" s="54">
        <v>261</v>
      </c>
      <c r="B262" s="12">
        <v>3452460.9885695162</v>
      </c>
      <c r="G262" s="54">
        <v>261</v>
      </c>
      <c r="H262" s="94">
        <v>5871921.588501065</v>
      </c>
    </row>
    <row r="263" spans="1:8" x14ac:dyDescent="0.3">
      <c r="A263" s="54">
        <v>262</v>
      </c>
      <c r="B263" s="12">
        <v>3291706.0245880568</v>
      </c>
      <c r="G263" s="54">
        <v>262</v>
      </c>
      <c r="H263" s="94">
        <v>5862332.1583143277</v>
      </c>
    </row>
    <row r="264" spans="1:8" x14ac:dyDescent="0.3">
      <c r="A264" s="54">
        <v>263</v>
      </c>
      <c r="B264" s="12">
        <v>3613907.6216894384</v>
      </c>
      <c r="G264" s="54">
        <v>263</v>
      </c>
      <c r="H264" s="94">
        <v>5877558.6251352327</v>
      </c>
    </row>
    <row r="265" spans="1:8" x14ac:dyDescent="0.3">
      <c r="A265" s="54">
        <v>264</v>
      </c>
      <c r="B265" s="12">
        <v>3348768.826793598</v>
      </c>
      <c r="G265" s="54">
        <v>264</v>
      </c>
      <c r="H265" s="94">
        <v>5886628.1947420929</v>
      </c>
    </row>
    <row r="266" spans="1:8" x14ac:dyDescent="0.3">
      <c r="A266" s="54">
        <v>265</v>
      </c>
      <c r="B266" s="12">
        <v>3416393.2575900736</v>
      </c>
      <c r="G266" s="54">
        <v>265</v>
      </c>
      <c r="H266" s="94">
        <v>5816640.8085004808</v>
      </c>
    </row>
    <row r="267" spans="1:8" x14ac:dyDescent="0.3">
      <c r="A267" s="54">
        <v>266</v>
      </c>
      <c r="B267" s="12">
        <v>3598928.0392458104</v>
      </c>
      <c r="G267" s="54">
        <v>266</v>
      </c>
      <c r="H267" s="94">
        <v>5837917.3266390776</v>
      </c>
    </row>
    <row r="268" spans="1:8" x14ac:dyDescent="0.3">
      <c r="A268" s="54">
        <v>267</v>
      </c>
      <c r="B268" s="12">
        <v>3319687.5515706516</v>
      </c>
      <c r="G268" s="54">
        <v>267</v>
      </c>
      <c r="H268" s="94">
        <v>5888671.3358680401</v>
      </c>
    </row>
    <row r="269" spans="1:8" x14ac:dyDescent="0.3">
      <c r="A269" s="54">
        <v>268</v>
      </c>
      <c r="B269" s="12">
        <v>3411340.6658014446</v>
      </c>
      <c r="G269" s="54">
        <v>268</v>
      </c>
      <c r="H269" s="94">
        <v>5845108.4978694888</v>
      </c>
    </row>
    <row r="270" spans="1:8" x14ac:dyDescent="0.3">
      <c r="A270" s="54">
        <v>269</v>
      </c>
      <c r="B270" s="12">
        <v>3329847.2749680863</v>
      </c>
      <c r="G270" s="54">
        <v>269</v>
      </c>
      <c r="H270" s="94">
        <v>5904551.4905093769</v>
      </c>
    </row>
    <row r="271" spans="1:8" x14ac:dyDescent="0.3">
      <c r="A271" s="54">
        <v>270</v>
      </c>
      <c r="B271" s="12">
        <v>3488094.1334261457</v>
      </c>
      <c r="G271" s="54">
        <v>270</v>
      </c>
      <c r="H271" s="94">
        <v>5792597.666505469</v>
      </c>
    </row>
    <row r="272" spans="1:8" x14ac:dyDescent="0.3">
      <c r="A272" s="54">
        <v>271</v>
      </c>
      <c r="B272" s="12">
        <v>3368487.511287218</v>
      </c>
      <c r="G272" s="54">
        <v>271</v>
      </c>
      <c r="H272" s="94">
        <v>5831506.5097542303</v>
      </c>
    </row>
    <row r="273" spans="1:8" x14ac:dyDescent="0.3">
      <c r="A273" s="54">
        <v>272</v>
      </c>
      <c r="B273" s="12">
        <v>3567323.8966447152</v>
      </c>
      <c r="G273" s="54">
        <v>272</v>
      </c>
      <c r="H273" s="94">
        <v>5910853.519786519</v>
      </c>
    </row>
    <row r="274" spans="1:8" x14ac:dyDescent="0.3">
      <c r="A274" s="54">
        <v>273</v>
      </c>
      <c r="B274" s="12">
        <v>3597631.5808671075</v>
      </c>
      <c r="G274" s="54">
        <v>273</v>
      </c>
      <c r="H274" s="94">
        <v>5870539.8547186302</v>
      </c>
    </row>
    <row r="275" spans="1:8" x14ac:dyDescent="0.3">
      <c r="A275" s="54">
        <v>274</v>
      </c>
      <c r="B275" s="12">
        <v>3482959.6430396414</v>
      </c>
      <c r="G275" s="54">
        <v>274</v>
      </c>
      <c r="H275" s="94">
        <v>5905648.063935183</v>
      </c>
    </row>
    <row r="276" spans="1:8" x14ac:dyDescent="0.3">
      <c r="A276" s="54">
        <v>275</v>
      </c>
      <c r="B276" s="12">
        <v>3456131.9909064886</v>
      </c>
      <c r="G276" s="54">
        <v>275</v>
      </c>
      <c r="H276" s="94">
        <v>5784553.3828497287</v>
      </c>
    </row>
    <row r="277" spans="1:8" x14ac:dyDescent="0.3">
      <c r="A277" s="54">
        <v>276</v>
      </c>
      <c r="B277" s="12">
        <v>3533527.6450944324</v>
      </c>
      <c r="G277" s="54">
        <v>276</v>
      </c>
      <c r="H277" s="94">
        <v>5871319.3185168123</v>
      </c>
    </row>
    <row r="278" spans="1:8" x14ac:dyDescent="0.3">
      <c r="A278" s="54">
        <v>277</v>
      </c>
      <c r="B278" s="12">
        <v>3495035.0965619199</v>
      </c>
      <c r="G278" s="54">
        <v>277</v>
      </c>
      <c r="H278" s="94">
        <v>5934276.277690487</v>
      </c>
    </row>
    <row r="279" spans="1:8" x14ac:dyDescent="0.3">
      <c r="A279" s="54">
        <v>278</v>
      </c>
      <c r="B279" s="12">
        <v>3583523.2370085847</v>
      </c>
      <c r="G279" s="54">
        <v>278</v>
      </c>
      <c r="H279" s="94">
        <v>5930525.3432220891</v>
      </c>
    </row>
    <row r="280" spans="1:8" x14ac:dyDescent="0.3">
      <c r="A280" s="54">
        <v>279</v>
      </c>
      <c r="B280" s="12">
        <v>3273710.2377162506</v>
      </c>
      <c r="G280" s="54">
        <v>279</v>
      </c>
      <c r="H280" s="94">
        <v>5945597.9953017691</v>
      </c>
    </row>
    <row r="281" spans="1:8" x14ac:dyDescent="0.3">
      <c r="A281" s="54">
        <v>280</v>
      </c>
      <c r="B281" s="12">
        <v>3283256.8327567074</v>
      </c>
      <c r="G281" s="54">
        <v>280</v>
      </c>
      <c r="H281" s="94">
        <v>5969280.8533928841</v>
      </c>
    </row>
    <row r="282" spans="1:8" x14ac:dyDescent="0.3">
      <c r="A282" s="54">
        <v>281</v>
      </c>
      <c r="B282" s="12">
        <v>3652878.7387599009</v>
      </c>
      <c r="G282" s="54">
        <v>281</v>
      </c>
      <c r="H282" s="94">
        <v>5892212.4112833142</v>
      </c>
    </row>
    <row r="283" spans="1:8" x14ac:dyDescent="0.3">
      <c r="A283" s="54">
        <v>282</v>
      </c>
      <c r="B283" s="12">
        <v>3474689.8282080274</v>
      </c>
      <c r="G283" s="54">
        <v>282</v>
      </c>
      <c r="H283" s="94">
        <v>6003388.7883105958</v>
      </c>
    </row>
    <row r="284" spans="1:8" x14ac:dyDescent="0.3">
      <c r="A284" s="54">
        <v>283</v>
      </c>
      <c r="B284" s="12">
        <v>3433264.9235330806</v>
      </c>
      <c r="G284" s="54">
        <v>283</v>
      </c>
      <c r="H284" s="94">
        <v>5973763.8712284509</v>
      </c>
    </row>
    <row r="285" spans="1:8" x14ac:dyDescent="0.3">
      <c r="A285" s="54">
        <v>284</v>
      </c>
      <c r="B285" s="12">
        <v>3260560.6346442602</v>
      </c>
      <c r="G285" s="54">
        <v>284</v>
      </c>
      <c r="H285" s="94">
        <v>5896055.617427337</v>
      </c>
    </row>
    <row r="286" spans="1:8" x14ac:dyDescent="0.3">
      <c r="A286" s="54">
        <v>285</v>
      </c>
      <c r="B286" s="12">
        <v>3489138.8417007956</v>
      </c>
      <c r="G286" s="54">
        <v>285</v>
      </c>
      <c r="H286" s="94">
        <v>5869789.6133014914</v>
      </c>
    </row>
    <row r="287" spans="1:8" x14ac:dyDescent="0.3">
      <c r="A287" s="54">
        <v>286</v>
      </c>
      <c r="B287" s="12">
        <v>3419749.9240200068</v>
      </c>
      <c r="G287" s="54">
        <v>286</v>
      </c>
      <c r="H287" s="94">
        <v>5766658.8636800582</v>
      </c>
    </row>
    <row r="288" spans="1:8" x14ac:dyDescent="0.3">
      <c r="A288" s="54">
        <v>287</v>
      </c>
      <c r="B288" s="12">
        <v>3305699.1436020159</v>
      </c>
      <c r="G288" s="54">
        <v>287</v>
      </c>
      <c r="H288" s="94">
        <v>5834708.6806520801</v>
      </c>
    </row>
    <row r="289" spans="1:8" x14ac:dyDescent="0.3">
      <c r="A289" s="54">
        <v>288</v>
      </c>
      <c r="B289" s="12">
        <v>3407372.455063791</v>
      </c>
      <c r="G289" s="54">
        <v>288</v>
      </c>
      <c r="H289" s="94">
        <v>5806985.5169241354</v>
      </c>
    </row>
    <row r="290" spans="1:8" x14ac:dyDescent="0.3">
      <c r="A290" s="54">
        <v>289</v>
      </c>
      <c r="B290" s="12">
        <v>3467434.9757489287</v>
      </c>
      <c r="G290" s="54">
        <v>289</v>
      </c>
      <c r="H290" s="94">
        <v>5902072.548145866</v>
      </c>
    </row>
    <row r="291" spans="1:8" x14ac:dyDescent="0.3">
      <c r="A291" s="54">
        <v>290</v>
      </c>
      <c r="B291" s="12">
        <v>3437935.2780454583</v>
      </c>
      <c r="G291" s="54">
        <v>290</v>
      </c>
      <c r="H291" s="94">
        <v>5738911.8683405928</v>
      </c>
    </row>
    <row r="292" spans="1:8" x14ac:dyDescent="0.3">
      <c r="A292" s="54">
        <v>291</v>
      </c>
      <c r="B292" s="12">
        <v>3247504.965044098</v>
      </c>
      <c r="G292" s="54">
        <v>291</v>
      </c>
      <c r="H292" s="94">
        <v>5925533.5014618523</v>
      </c>
    </row>
    <row r="293" spans="1:8" x14ac:dyDescent="0.3">
      <c r="A293" s="54">
        <v>292</v>
      </c>
      <c r="B293" s="12">
        <v>3598939.2929574149</v>
      </c>
      <c r="G293" s="54">
        <v>292</v>
      </c>
      <c r="H293" s="94">
        <v>5847172.0044023916</v>
      </c>
    </row>
    <row r="294" spans="1:8" x14ac:dyDescent="0.3">
      <c r="A294" s="54">
        <v>293</v>
      </c>
      <c r="B294" s="12">
        <v>3389006.0334984977</v>
      </c>
      <c r="G294" s="54">
        <v>293</v>
      </c>
      <c r="H294" s="94">
        <v>5813763.7249556733</v>
      </c>
    </row>
    <row r="295" spans="1:8" x14ac:dyDescent="0.3">
      <c r="A295" s="54">
        <v>294</v>
      </c>
      <c r="B295" s="12">
        <v>3405087.9084329982</v>
      </c>
      <c r="G295" s="54">
        <v>294</v>
      </c>
      <c r="H295" s="94">
        <v>5845521.9344797358</v>
      </c>
    </row>
    <row r="296" spans="1:8" x14ac:dyDescent="0.3">
      <c r="A296" s="54">
        <v>295</v>
      </c>
      <c r="B296" s="12">
        <v>3704461.2061468433</v>
      </c>
      <c r="G296" s="54">
        <v>295</v>
      </c>
      <c r="H296" s="94">
        <v>5909565.8056798922</v>
      </c>
    </row>
    <row r="297" spans="1:8" x14ac:dyDescent="0.3">
      <c r="A297" s="54">
        <v>296</v>
      </c>
      <c r="B297" s="12">
        <v>3349836.0371145918</v>
      </c>
      <c r="G297" s="54">
        <v>296</v>
      </c>
      <c r="H297" s="94">
        <v>5874081.9802240813</v>
      </c>
    </row>
    <row r="298" spans="1:8" x14ac:dyDescent="0.3">
      <c r="A298" s="54">
        <v>297</v>
      </c>
      <c r="B298" s="12">
        <v>3345233.8458103412</v>
      </c>
      <c r="G298" s="54">
        <v>297</v>
      </c>
      <c r="H298" s="94">
        <v>5793801.8665829655</v>
      </c>
    </row>
    <row r="299" spans="1:8" x14ac:dyDescent="0.3">
      <c r="A299" s="54">
        <v>298</v>
      </c>
      <c r="B299" s="12">
        <v>3226728.3124264074</v>
      </c>
      <c r="G299" s="54">
        <v>298</v>
      </c>
      <c r="H299" s="94">
        <v>5834283.2938435758</v>
      </c>
    </row>
    <row r="300" spans="1:8" x14ac:dyDescent="0.3">
      <c r="A300" s="54">
        <v>299</v>
      </c>
      <c r="B300" s="12">
        <v>3527371.8109016023</v>
      </c>
      <c r="G300" s="54">
        <v>299</v>
      </c>
      <c r="H300" s="94">
        <v>5939885.4982860703</v>
      </c>
    </row>
    <row r="301" spans="1:8" x14ac:dyDescent="0.3">
      <c r="A301" s="54">
        <v>300</v>
      </c>
      <c r="B301" s="12">
        <v>3589816.198281134</v>
      </c>
      <c r="G301" s="54">
        <v>300</v>
      </c>
      <c r="H301" s="94">
        <v>5878478.71323488</v>
      </c>
    </row>
    <row r="302" spans="1:8" x14ac:dyDescent="0.3">
      <c r="A302" s="54">
        <v>301</v>
      </c>
      <c r="B302" s="12">
        <v>3285866.529829321</v>
      </c>
      <c r="G302" s="54">
        <v>301</v>
      </c>
      <c r="H302" s="94">
        <v>5848994.1105022421</v>
      </c>
    </row>
    <row r="303" spans="1:8" x14ac:dyDescent="0.3">
      <c r="A303" s="54">
        <v>302</v>
      </c>
      <c r="B303" s="12">
        <v>3738284.9619875639</v>
      </c>
      <c r="G303" s="54">
        <v>302</v>
      </c>
      <c r="H303" s="94">
        <v>5730044.4294205653</v>
      </c>
    </row>
    <row r="304" spans="1:8" x14ac:dyDescent="0.3">
      <c r="A304" s="54">
        <v>303</v>
      </c>
      <c r="B304" s="12">
        <v>3455942.6956448937</v>
      </c>
      <c r="G304" s="54">
        <v>303</v>
      </c>
      <c r="H304" s="94">
        <v>5830436.3342199856</v>
      </c>
    </row>
    <row r="305" spans="1:8" x14ac:dyDescent="0.3">
      <c r="A305" s="54">
        <v>304</v>
      </c>
      <c r="B305" s="12">
        <v>3450086.987909303</v>
      </c>
      <c r="G305" s="54">
        <v>304</v>
      </c>
      <c r="H305" s="94">
        <v>5895758.5401326474</v>
      </c>
    </row>
    <row r="306" spans="1:8" x14ac:dyDescent="0.3">
      <c r="A306" s="54">
        <v>305</v>
      </c>
      <c r="B306" s="12">
        <v>3397386.1152317878</v>
      </c>
      <c r="G306" s="54">
        <v>305</v>
      </c>
      <c r="H306" s="94">
        <v>5934144.9553299099</v>
      </c>
    </row>
    <row r="307" spans="1:8" x14ac:dyDescent="0.3">
      <c r="A307" s="54">
        <v>306</v>
      </c>
      <c r="B307" s="12">
        <v>3784504.4401222775</v>
      </c>
      <c r="G307" s="54">
        <v>306</v>
      </c>
      <c r="H307" s="94">
        <v>5852179.9547466487</v>
      </c>
    </row>
    <row r="308" spans="1:8" x14ac:dyDescent="0.3">
      <c r="A308" s="54">
        <v>307</v>
      </c>
      <c r="B308" s="12">
        <v>3754085.4811719973</v>
      </c>
      <c r="G308" s="54">
        <v>307</v>
      </c>
      <c r="H308" s="94">
        <v>5856055.566904583</v>
      </c>
    </row>
    <row r="309" spans="1:8" x14ac:dyDescent="0.3">
      <c r="A309" s="54">
        <v>308</v>
      </c>
      <c r="B309" s="12">
        <v>3735307.8965570591</v>
      </c>
      <c r="G309" s="54">
        <v>308</v>
      </c>
      <c r="H309" s="94">
        <v>5983492.2852179129</v>
      </c>
    </row>
    <row r="310" spans="1:8" x14ac:dyDescent="0.3">
      <c r="A310" s="54">
        <v>309</v>
      </c>
      <c r="B310" s="12">
        <v>3331080.6038485817</v>
      </c>
      <c r="G310" s="54">
        <v>309</v>
      </c>
      <c r="H310" s="94">
        <v>5962691.8632070646</v>
      </c>
    </row>
    <row r="311" spans="1:8" x14ac:dyDescent="0.3">
      <c r="A311" s="54">
        <v>310</v>
      </c>
      <c r="B311" s="12">
        <v>3607104.8382005882</v>
      </c>
      <c r="G311" s="54">
        <v>310</v>
      </c>
      <c r="H311" s="94">
        <v>5869061.8254180243</v>
      </c>
    </row>
    <row r="312" spans="1:8" x14ac:dyDescent="0.3">
      <c r="A312" s="54">
        <v>311</v>
      </c>
      <c r="B312" s="12">
        <v>3214179.6435443563</v>
      </c>
      <c r="G312" s="54">
        <v>311</v>
      </c>
      <c r="H312" s="94">
        <v>5865859.6709412625</v>
      </c>
    </row>
    <row r="313" spans="1:8" x14ac:dyDescent="0.3">
      <c r="A313" s="54">
        <v>312</v>
      </c>
      <c r="B313" s="12">
        <v>3330291.0460054972</v>
      </c>
      <c r="G313" s="54">
        <v>312</v>
      </c>
      <c r="H313" s="94">
        <v>5808565.3524820739</v>
      </c>
    </row>
    <row r="314" spans="1:8" x14ac:dyDescent="0.3">
      <c r="A314" s="54">
        <v>313</v>
      </c>
      <c r="B314" s="12">
        <v>3544677.0093502132</v>
      </c>
      <c r="G314" s="54">
        <v>313</v>
      </c>
      <c r="H314" s="94">
        <v>5942258.2926291618</v>
      </c>
    </row>
    <row r="315" spans="1:8" x14ac:dyDescent="0.3">
      <c r="A315" s="54">
        <v>314</v>
      </c>
      <c r="B315" s="12">
        <v>3305642.4336797968</v>
      </c>
      <c r="G315" s="54">
        <v>314</v>
      </c>
      <c r="H315" s="94">
        <v>5846181.0530150793</v>
      </c>
    </row>
    <row r="316" spans="1:8" x14ac:dyDescent="0.3">
      <c r="A316" s="54">
        <v>315</v>
      </c>
      <c r="B316" s="12">
        <v>3493800.5063480362</v>
      </c>
      <c r="G316" s="54">
        <v>315</v>
      </c>
      <c r="H316" s="94">
        <v>5899799.0602393262</v>
      </c>
    </row>
    <row r="317" spans="1:8" x14ac:dyDescent="0.3">
      <c r="A317" s="54">
        <v>316</v>
      </c>
      <c r="B317" s="12">
        <v>3294513.5236708359</v>
      </c>
      <c r="G317" s="54">
        <v>316</v>
      </c>
      <c r="H317" s="94">
        <v>5952910.2549321121</v>
      </c>
    </row>
    <row r="318" spans="1:8" x14ac:dyDescent="0.3">
      <c r="A318" s="54">
        <v>317</v>
      </c>
      <c r="B318" s="12">
        <v>3547094.2456889967</v>
      </c>
      <c r="G318" s="54">
        <v>317</v>
      </c>
      <c r="H318" s="94">
        <v>5789203.8359324653</v>
      </c>
    </row>
    <row r="319" spans="1:8" x14ac:dyDescent="0.3">
      <c r="A319" s="54">
        <v>318</v>
      </c>
      <c r="B319" s="12">
        <v>3406200.2110487428</v>
      </c>
      <c r="G319" s="54">
        <v>318</v>
      </c>
      <c r="H319" s="94">
        <v>5733720.4567877268</v>
      </c>
    </row>
    <row r="320" spans="1:8" x14ac:dyDescent="0.3">
      <c r="A320" s="54">
        <v>319</v>
      </c>
      <c r="B320" s="12">
        <v>3167988.3172760447</v>
      </c>
      <c r="G320" s="54">
        <v>319</v>
      </c>
      <c r="H320" s="94">
        <v>5866899.8917207187</v>
      </c>
    </row>
    <row r="321" spans="1:8" x14ac:dyDescent="0.3">
      <c r="A321" s="54">
        <v>320</v>
      </c>
      <c r="B321" s="12">
        <v>3604013.4282343481</v>
      </c>
      <c r="G321" s="54">
        <v>320</v>
      </c>
      <c r="H321" s="94">
        <v>5856712.0721544595</v>
      </c>
    </row>
    <row r="322" spans="1:8" x14ac:dyDescent="0.3">
      <c r="A322" s="54">
        <v>321</v>
      </c>
      <c r="B322" s="12">
        <v>3338851.3214764404</v>
      </c>
      <c r="G322" s="54">
        <v>321</v>
      </c>
      <c r="H322" s="94">
        <v>5902584.3513770858</v>
      </c>
    </row>
    <row r="323" spans="1:8" x14ac:dyDescent="0.3">
      <c r="A323" s="54">
        <v>322</v>
      </c>
      <c r="B323" s="12">
        <v>3430673.0220358362</v>
      </c>
      <c r="G323" s="54">
        <v>322</v>
      </c>
      <c r="H323" s="94">
        <v>5789868.896001392</v>
      </c>
    </row>
    <row r="324" spans="1:8" x14ac:dyDescent="0.3">
      <c r="A324" s="54">
        <v>323</v>
      </c>
      <c r="B324" s="12">
        <v>3365582.0572304027</v>
      </c>
      <c r="G324" s="54">
        <v>323</v>
      </c>
      <c r="H324" s="94">
        <v>5902763.5485238507</v>
      </c>
    </row>
    <row r="325" spans="1:8" x14ac:dyDescent="0.3">
      <c r="A325" s="54">
        <v>324</v>
      </c>
      <c r="B325" s="12">
        <v>3633537.4951791079</v>
      </c>
      <c r="G325" s="54">
        <v>324</v>
      </c>
      <c r="H325" s="94">
        <v>5971423.3492489159</v>
      </c>
    </row>
    <row r="326" spans="1:8" x14ac:dyDescent="0.3">
      <c r="A326" s="54">
        <v>325</v>
      </c>
      <c r="B326" s="12">
        <v>3241558.3037452144</v>
      </c>
      <c r="G326" s="54">
        <v>325</v>
      </c>
      <c r="H326" s="94">
        <v>5830577.184503397</v>
      </c>
    </row>
    <row r="327" spans="1:8" x14ac:dyDescent="0.3">
      <c r="A327" s="54">
        <v>326</v>
      </c>
      <c r="B327" s="12">
        <v>3386250.6966383834</v>
      </c>
      <c r="G327" s="54">
        <v>326</v>
      </c>
      <c r="H327" s="94">
        <v>5886089.865571633</v>
      </c>
    </row>
    <row r="328" spans="1:8" x14ac:dyDescent="0.3">
      <c r="A328" s="54">
        <v>327</v>
      </c>
      <c r="B328" s="12">
        <v>3201220.516724111</v>
      </c>
      <c r="G328" s="54">
        <v>327</v>
      </c>
      <c r="H328" s="94">
        <v>5913348.2041812306</v>
      </c>
    </row>
    <row r="329" spans="1:8" x14ac:dyDescent="0.3">
      <c r="A329" s="54">
        <v>328</v>
      </c>
      <c r="B329" s="12">
        <v>3361033.2373581929</v>
      </c>
      <c r="G329" s="54">
        <v>328</v>
      </c>
      <c r="H329" s="94">
        <v>5869304.9409519862</v>
      </c>
    </row>
    <row r="330" spans="1:8" x14ac:dyDescent="0.3">
      <c r="A330" s="54">
        <v>329</v>
      </c>
      <c r="B330" s="12">
        <v>3561981.1992101199</v>
      </c>
      <c r="G330" s="54">
        <v>329</v>
      </c>
      <c r="H330" s="94">
        <v>5950842.9332170729</v>
      </c>
    </row>
    <row r="331" spans="1:8" x14ac:dyDescent="0.3">
      <c r="A331" s="54">
        <v>330</v>
      </c>
      <c r="B331" s="12">
        <v>3274128.9153763042</v>
      </c>
      <c r="G331" s="54">
        <v>330</v>
      </c>
      <c r="H331" s="94">
        <v>5833821.7768451553</v>
      </c>
    </row>
    <row r="332" spans="1:8" x14ac:dyDescent="0.3">
      <c r="A332" s="54">
        <v>331</v>
      </c>
      <c r="B332" s="12">
        <v>3460392.5619766098</v>
      </c>
      <c r="G332" s="54">
        <v>331</v>
      </c>
      <c r="H332" s="94">
        <v>5950720.1367821777</v>
      </c>
    </row>
    <row r="333" spans="1:8" x14ac:dyDescent="0.3">
      <c r="A333" s="54">
        <v>332</v>
      </c>
      <c r="B333" s="12">
        <v>3562888.4356224951</v>
      </c>
      <c r="G333" s="54">
        <v>332</v>
      </c>
      <c r="H333" s="94">
        <v>5890490.2946185078</v>
      </c>
    </row>
    <row r="334" spans="1:8" x14ac:dyDescent="0.3">
      <c r="A334" s="54">
        <v>333</v>
      </c>
      <c r="B334" s="12">
        <v>3714749.2913462599</v>
      </c>
      <c r="G334" s="54">
        <v>333</v>
      </c>
      <c r="H334" s="94">
        <v>5889099.0437693167</v>
      </c>
    </row>
    <row r="335" spans="1:8" x14ac:dyDescent="0.3">
      <c r="A335" s="54">
        <v>334</v>
      </c>
      <c r="B335" s="12">
        <v>3634141.9864205578</v>
      </c>
      <c r="G335" s="54">
        <v>334</v>
      </c>
      <c r="H335" s="94">
        <v>5821525.238479198</v>
      </c>
    </row>
    <row r="336" spans="1:8" x14ac:dyDescent="0.3">
      <c r="A336" s="54">
        <v>335</v>
      </c>
      <c r="B336" s="12">
        <v>3406500.6577461222</v>
      </c>
      <c r="G336" s="54">
        <v>335</v>
      </c>
      <c r="H336" s="94">
        <v>5838309.1121125584</v>
      </c>
    </row>
    <row r="337" spans="1:8" x14ac:dyDescent="0.3">
      <c r="A337" s="54">
        <v>336</v>
      </c>
      <c r="B337" s="12">
        <v>3246334.8918664493</v>
      </c>
      <c r="G337" s="54">
        <v>336</v>
      </c>
      <c r="H337" s="94">
        <v>5834831.4515146399</v>
      </c>
    </row>
    <row r="338" spans="1:8" x14ac:dyDescent="0.3">
      <c r="A338" s="54">
        <v>337</v>
      </c>
      <c r="B338" s="12">
        <v>3417086.158629254</v>
      </c>
      <c r="G338" s="54">
        <v>337</v>
      </c>
      <c r="H338" s="94">
        <v>5810951.7176849768</v>
      </c>
    </row>
    <row r="339" spans="1:8" x14ac:dyDescent="0.3">
      <c r="A339" s="54">
        <v>338</v>
      </c>
      <c r="B339" s="12">
        <v>3367832.2870471757</v>
      </c>
      <c r="G339" s="54">
        <v>338</v>
      </c>
      <c r="H339" s="94">
        <v>5922627.6147258822</v>
      </c>
    </row>
    <row r="340" spans="1:8" x14ac:dyDescent="0.3">
      <c r="A340" s="54">
        <v>339</v>
      </c>
      <c r="B340" s="12">
        <v>3593278.4809228047</v>
      </c>
      <c r="G340" s="54">
        <v>339</v>
      </c>
      <c r="H340" s="94">
        <v>5874074.3110842407</v>
      </c>
    </row>
    <row r="341" spans="1:8" x14ac:dyDescent="0.3">
      <c r="A341" s="54">
        <v>340</v>
      </c>
      <c r="B341" s="12">
        <v>3305259.5547078624</v>
      </c>
      <c r="G341" s="54">
        <v>340</v>
      </c>
      <c r="H341" s="94">
        <v>5953115.2362104431</v>
      </c>
    </row>
    <row r="342" spans="1:8" x14ac:dyDescent="0.3">
      <c r="A342" s="54">
        <v>341</v>
      </c>
      <c r="B342" s="12">
        <v>3386575.7523842189</v>
      </c>
      <c r="G342" s="54">
        <v>341</v>
      </c>
      <c r="H342" s="94">
        <v>5854638.3369828295</v>
      </c>
    </row>
    <row r="343" spans="1:8" x14ac:dyDescent="0.3">
      <c r="A343" s="54">
        <v>342</v>
      </c>
      <c r="B343" s="12">
        <v>3418778.6992279929</v>
      </c>
      <c r="G343" s="54">
        <v>342</v>
      </c>
      <c r="H343" s="94">
        <v>5788675.3357832441</v>
      </c>
    </row>
    <row r="344" spans="1:8" x14ac:dyDescent="0.3">
      <c r="A344" s="54">
        <v>343</v>
      </c>
      <c r="B344" s="12">
        <v>3244870.445777324</v>
      </c>
      <c r="G344" s="54">
        <v>343</v>
      </c>
      <c r="H344" s="94">
        <v>5796064.2222258272</v>
      </c>
    </row>
    <row r="345" spans="1:8" x14ac:dyDescent="0.3">
      <c r="A345" s="54">
        <v>344</v>
      </c>
      <c r="B345" s="12">
        <v>3618151.1814362481</v>
      </c>
      <c r="G345" s="54">
        <v>344</v>
      </c>
      <c r="H345" s="94">
        <v>6015778.9835089454</v>
      </c>
    </row>
    <row r="346" spans="1:8" x14ac:dyDescent="0.3">
      <c r="A346" s="54">
        <v>345</v>
      </c>
      <c r="B346" s="12">
        <v>3493512.4361161864</v>
      </c>
      <c r="G346" s="54">
        <v>345</v>
      </c>
      <c r="H346" s="94">
        <v>5780311.8726403322</v>
      </c>
    </row>
    <row r="347" spans="1:8" x14ac:dyDescent="0.3">
      <c r="A347" s="54">
        <v>346</v>
      </c>
      <c r="B347" s="12">
        <v>3778379.4617185653</v>
      </c>
      <c r="G347" s="54">
        <v>346</v>
      </c>
      <c r="H347" s="94">
        <v>5844971.5917402431</v>
      </c>
    </row>
    <row r="348" spans="1:8" x14ac:dyDescent="0.3">
      <c r="A348" s="54">
        <v>347</v>
      </c>
      <c r="B348" s="12">
        <v>3531117.2343237833</v>
      </c>
      <c r="G348" s="54">
        <v>347</v>
      </c>
      <c r="H348" s="94">
        <v>5925725.3479943713</v>
      </c>
    </row>
    <row r="349" spans="1:8" x14ac:dyDescent="0.3">
      <c r="A349" s="54">
        <v>348</v>
      </c>
      <c r="B349" s="12">
        <v>3679257.434101685</v>
      </c>
      <c r="G349" s="54">
        <v>348</v>
      </c>
      <c r="H349" s="94">
        <v>5847120.7589775855</v>
      </c>
    </row>
    <row r="350" spans="1:8" x14ac:dyDescent="0.3">
      <c r="A350" s="54">
        <v>349</v>
      </c>
      <c r="B350" s="12">
        <v>3653895.4366988232</v>
      </c>
      <c r="G350" s="54">
        <v>349</v>
      </c>
      <c r="H350" s="94">
        <v>5847185.6910261586</v>
      </c>
    </row>
    <row r="351" spans="1:8" x14ac:dyDescent="0.3">
      <c r="A351" s="54">
        <v>350</v>
      </c>
      <c r="B351" s="12">
        <v>3428604.601772299</v>
      </c>
      <c r="G351" s="54">
        <v>350</v>
      </c>
      <c r="H351" s="94">
        <v>5824741.6255178638</v>
      </c>
    </row>
    <row r="352" spans="1:8" x14ac:dyDescent="0.3">
      <c r="A352" s="54">
        <v>351</v>
      </c>
      <c r="B352" s="12">
        <v>3560612.182357593</v>
      </c>
      <c r="G352" s="54">
        <v>351</v>
      </c>
      <c r="H352" s="94">
        <v>5885131.9803299755</v>
      </c>
    </row>
    <row r="353" spans="1:8" x14ac:dyDescent="0.3">
      <c r="A353" s="54">
        <v>352</v>
      </c>
      <c r="B353" s="12">
        <v>3675823.7218129933</v>
      </c>
      <c r="G353" s="54">
        <v>352</v>
      </c>
      <c r="H353" s="94">
        <v>6000368.2312380495</v>
      </c>
    </row>
    <row r="354" spans="1:8" x14ac:dyDescent="0.3">
      <c r="A354" s="54">
        <v>353</v>
      </c>
      <c r="B354" s="12">
        <v>3566840.821037726</v>
      </c>
      <c r="G354" s="54">
        <v>353</v>
      </c>
      <c r="H354" s="94">
        <v>5880156.6619240111</v>
      </c>
    </row>
    <row r="355" spans="1:8" x14ac:dyDescent="0.3">
      <c r="A355" s="54">
        <v>354</v>
      </c>
      <c r="B355" s="12">
        <v>3418886.1206249772</v>
      </c>
      <c r="G355" s="54">
        <v>354</v>
      </c>
      <c r="H355" s="94">
        <v>5874968.3625587774</v>
      </c>
    </row>
    <row r="356" spans="1:8" x14ac:dyDescent="0.3">
      <c r="A356" s="54">
        <v>355</v>
      </c>
      <c r="B356" s="12">
        <v>3495870.0334083647</v>
      </c>
      <c r="G356" s="54">
        <v>355</v>
      </c>
      <c r="H356" s="94">
        <v>5948530.7975193718</v>
      </c>
    </row>
    <row r="357" spans="1:8" x14ac:dyDescent="0.3">
      <c r="A357" s="54">
        <v>356</v>
      </c>
      <c r="B357" s="12">
        <v>3669330.5466555203</v>
      </c>
      <c r="G357" s="54">
        <v>356</v>
      </c>
      <c r="H357" s="94">
        <v>5869219.4883266306</v>
      </c>
    </row>
    <row r="358" spans="1:8" x14ac:dyDescent="0.3">
      <c r="A358" s="54">
        <v>357</v>
      </c>
      <c r="B358" s="12">
        <v>3517936.3432131093</v>
      </c>
      <c r="G358" s="54">
        <v>357</v>
      </c>
      <c r="H358" s="94">
        <v>5879081.4844387546</v>
      </c>
    </row>
    <row r="359" spans="1:8" x14ac:dyDescent="0.3">
      <c r="A359" s="54">
        <v>358</v>
      </c>
      <c r="B359" s="12">
        <v>3291878.3002441139</v>
      </c>
      <c r="G359" s="54">
        <v>358</v>
      </c>
      <c r="H359" s="94">
        <v>5791583.3034711573</v>
      </c>
    </row>
    <row r="360" spans="1:8" x14ac:dyDescent="0.3">
      <c r="A360" s="54">
        <v>359</v>
      </c>
      <c r="B360" s="12">
        <v>3301799.7287924695</v>
      </c>
      <c r="G360" s="54">
        <v>359</v>
      </c>
      <c r="H360" s="94">
        <v>5963783.6887442851</v>
      </c>
    </row>
    <row r="361" spans="1:8" x14ac:dyDescent="0.3">
      <c r="A361" s="54">
        <v>360</v>
      </c>
      <c r="B361" s="12">
        <v>3545142.661960708</v>
      </c>
      <c r="G361" s="54">
        <v>360</v>
      </c>
      <c r="H361" s="94">
        <v>5911788.98606354</v>
      </c>
    </row>
    <row r="362" spans="1:8" x14ac:dyDescent="0.3">
      <c r="A362" s="54">
        <v>361</v>
      </c>
      <c r="B362" s="12">
        <v>3744666.7070256113</v>
      </c>
      <c r="G362" s="54">
        <v>361</v>
      </c>
      <c r="H362" s="94">
        <v>5904208.8099272884</v>
      </c>
    </row>
    <row r="363" spans="1:8" x14ac:dyDescent="0.3">
      <c r="A363" s="54">
        <v>362</v>
      </c>
      <c r="B363" s="12">
        <v>3178748.6544628693</v>
      </c>
      <c r="G363" s="54">
        <v>362</v>
      </c>
      <c r="H363" s="94">
        <v>5748214.0521513643</v>
      </c>
    </row>
    <row r="364" spans="1:8" x14ac:dyDescent="0.3">
      <c r="A364" s="54">
        <v>363</v>
      </c>
      <c r="B364" s="12">
        <v>3511610.8240755768</v>
      </c>
      <c r="G364" s="54">
        <v>363</v>
      </c>
      <c r="H364" s="94">
        <v>5783462.8924405724</v>
      </c>
    </row>
    <row r="365" spans="1:8" x14ac:dyDescent="0.3">
      <c r="A365" s="54">
        <v>364</v>
      </c>
      <c r="B365" s="12">
        <v>3695842.7701085568</v>
      </c>
      <c r="G365" s="54">
        <v>364</v>
      </c>
      <c r="H365" s="94">
        <v>5846219.9363670964</v>
      </c>
    </row>
    <row r="366" spans="1:8" x14ac:dyDescent="0.3">
      <c r="A366" s="54">
        <v>365</v>
      </c>
      <c r="B366" s="12">
        <v>3735246.4783065356</v>
      </c>
      <c r="G366" s="54">
        <v>365</v>
      </c>
      <c r="H366" s="94">
        <v>5925908.6387531227</v>
      </c>
    </row>
    <row r="367" spans="1:8" x14ac:dyDescent="0.3">
      <c r="A367" s="54">
        <v>366</v>
      </c>
      <c r="B367" s="12">
        <v>3463914.2607111996</v>
      </c>
      <c r="G367" s="54">
        <v>366</v>
      </c>
      <c r="H367" s="94">
        <v>5839785.4713371228</v>
      </c>
    </row>
    <row r="368" spans="1:8" x14ac:dyDescent="0.3">
      <c r="A368" s="54">
        <v>367</v>
      </c>
      <c r="B368" s="12">
        <v>3548644.9997920692</v>
      </c>
      <c r="G368" s="54">
        <v>367</v>
      </c>
      <c r="H368" s="94">
        <v>5862064.4996740548</v>
      </c>
    </row>
    <row r="369" spans="1:8" x14ac:dyDescent="0.3">
      <c r="A369" s="54">
        <v>368</v>
      </c>
      <c r="B369" s="12">
        <v>3415745.7193100927</v>
      </c>
      <c r="G369" s="54">
        <v>368</v>
      </c>
      <c r="H369" s="94">
        <v>5746956.1594116865</v>
      </c>
    </row>
    <row r="370" spans="1:8" x14ac:dyDescent="0.3">
      <c r="A370" s="54">
        <v>369</v>
      </c>
      <c r="B370" s="12">
        <v>3292342.7879951983</v>
      </c>
      <c r="G370" s="54">
        <v>369</v>
      </c>
      <c r="H370" s="94">
        <v>5869369.2153801369</v>
      </c>
    </row>
    <row r="371" spans="1:8" x14ac:dyDescent="0.3">
      <c r="A371" s="54">
        <v>370</v>
      </c>
      <c r="B371" s="12">
        <v>3350295.8011333179</v>
      </c>
      <c r="G371" s="54">
        <v>370</v>
      </c>
      <c r="H371" s="94">
        <v>5834260.468669069</v>
      </c>
    </row>
    <row r="372" spans="1:8" x14ac:dyDescent="0.3">
      <c r="A372" s="54">
        <v>371</v>
      </c>
      <c r="B372" s="12">
        <v>3420924.4361898955</v>
      </c>
      <c r="G372" s="54">
        <v>371</v>
      </c>
      <c r="H372" s="94">
        <v>5771086.19492169</v>
      </c>
    </row>
    <row r="373" spans="1:8" x14ac:dyDescent="0.3">
      <c r="A373" s="54">
        <v>372</v>
      </c>
      <c r="B373" s="12">
        <v>3514721.3739476316</v>
      </c>
      <c r="G373" s="54">
        <v>372</v>
      </c>
      <c r="H373" s="94">
        <v>5927354.0357478354</v>
      </c>
    </row>
    <row r="374" spans="1:8" x14ac:dyDescent="0.3">
      <c r="A374" s="54">
        <v>373</v>
      </c>
      <c r="B374" s="12">
        <v>3382390.0016423594</v>
      </c>
      <c r="G374" s="54">
        <v>373</v>
      </c>
      <c r="H374" s="94">
        <v>5824181.3653683495</v>
      </c>
    </row>
    <row r="375" spans="1:8" x14ac:dyDescent="0.3">
      <c r="A375" s="54">
        <v>374</v>
      </c>
      <c r="B375" s="12">
        <v>3712609.8455637055</v>
      </c>
      <c r="G375" s="54">
        <v>374</v>
      </c>
      <c r="H375" s="94">
        <v>5863811.9323026417</v>
      </c>
    </row>
    <row r="376" spans="1:8" x14ac:dyDescent="0.3">
      <c r="A376" s="54">
        <v>375</v>
      </c>
      <c r="B376" s="12">
        <v>3238952.1750648008</v>
      </c>
      <c r="G376" s="54">
        <v>375</v>
      </c>
      <c r="H376" s="94">
        <v>5791622.7767311465</v>
      </c>
    </row>
    <row r="377" spans="1:8" x14ac:dyDescent="0.3">
      <c r="A377" s="54">
        <v>376</v>
      </c>
      <c r="B377" s="12">
        <v>3552900.0849418002</v>
      </c>
      <c r="G377" s="54">
        <v>376</v>
      </c>
      <c r="H377" s="94">
        <v>5872684.6688343296</v>
      </c>
    </row>
    <row r="378" spans="1:8" x14ac:dyDescent="0.3">
      <c r="A378" s="54">
        <v>377</v>
      </c>
      <c r="B378" s="12">
        <v>3344132.7492540553</v>
      </c>
      <c r="G378" s="54">
        <v>377</v>
      </c>
      <c r="H378" s="94">
        <v>5820726.0247660065</v>
      </c>
    </row>
    <row r="379" spans="1:8" x14ac:dyDescent="0.3">
      <c r="A379" s="54">
        <v>378</v>
      </c>
      <c r="B379" s="12">
        <v>3444813.6139289942</v>
      </c>
      <c r="G379" s="54">
        <v>378</v>
      </c>
      <c r="H379" s="94">
        <v>5790060.3168992931</v>
      </c>
    </row>
    <row r="380" spans="1:8" x14ac:dyDescent="0.3">
      <c r="A380" s="54">
        <v>379</v>
      </c>
      <c r="B380" s="12">
        <v>3482654.1409512069</v>
      </c>
      <c r="G380" s="54">
        <v>379</v>
      </c>
      <c r="H380" s="94">
        <v>5977014.3268114133</v>
      </c>
    </row>
    <row r="381" spans="1:8" x14ac:dyDescent="0.3">
      <c r="A381" s="54">
        <v>380</v>
      </c>
      <c r="B381" s="12">
        <v>3513502.5982854436</v>
      </c>
      <c r="G381" s="54">
        <v>380</v>
      </c>
      <c r="H381" s="94">
        <v>5824170.6698174709</v>
      </c>
    </row>
    <row r="382" spans="1:8" x14ac:dyDescent="0.3">
      <c r="A382" s="54">
        <v>381</v>
      </c>
      <c r="B382" s="12">
        <v>3672223.6324133174</v>
      </c>
      <c r="G382" s="54">
        <v>381</v>
      </c>
      <c r="H382" s="94">
        <v>6009541.844660325</v>
      </c>
    </row>
    <row r="383" spans="1:8" x14ac:dyDescent="0.3">
      <c r="A383" s="54">
        <v>382</v>
      </c>
      <c r="B383" s="12">
        <v>3462825.8525646832</v>
      </c>
      <c r="G383" s="54">
        <v>382</v>
      </c>
      <c r="H383" s="94">
        <v>5901171.4242665041</v>
      </c>
    </row>
    <row r="384" spans="1:8" x14ac:dyDescent="0.3">
      <c r="A384" s="54">
        <v>383</v>
      </c>
      <c r="B384" s="12">
        <v>3406579.2560294699</v>
      </c>
      <c r="G384" s="54">
        <v>383</v>
      </c>
      <c r="H384" s="94">
        <v>5701687.7749316823</v>
      </c>
    </row>
    <row r="385" spans="1:8" x14ac:dyDescent="0.3">
      <c r="A385" s="54">
        <v>384</v>
      </c>
      <c r="B385" s="12">
        <v>2999432.7319033309</v>
      </c>
      <c r="G385" s="54">
        <v>384</v>
      </c>
      <c r="H385" s="94">
        <v>6071907.7063461049</v>
      </c>
    </row>
    <row r="386" spans="1:8" x14ac:dyDescent="0.3">
      <c r="A386" s="54">
        <v>385</v>
      </c>
      <c r="B386" s="12">
        <v>3269275.1157163642</v>
      </c>
      <c r="G386" s="54">
        <v>385</v>
      </c>
      <c r="H386" s="94">
        <v>5817141.5383209502</v>
      </c>
    </row>
    <row r="387" spans="1:8" x14ac:dyDescent="0.3">
      <c r="A387" s="54">
        <v>386</v>
      </c>
      <c r="B387" s="12">
        <v>3631752.5480373129</v>
      </c>
      <c r="G387" s="54">
        <v>386</v>
      </c>
      <c r="H387" s="94">
        <v>5809029.0869123293</v>
      </c>
    </row>
    <row r="388" spans="1:8" x14ac:dyDescent="0.3">
      <c r="A388" s="54">
        <v>387</v>
      </c>
      <c r="B388" s="12">
        <v>3255420.1476798621</v>
      </c>
      <c r="G388" s="54">
        <v>387</v>
      </c>
      <c r="H388" s="94">
        <v>6022929.8332186239</v>
      </c>
    </row>
    <row r="389" spans="1:8" x14ac:dyDescent="0.3">
      <c r="A389" s="54">
        <v>388</v>
      </c>
      <c r="B389" s="12">
        <v>3195054.8549776627</v>
      </c>
      <c r="G389" s="54">
        <v>388</v>
      </c>
      <c r="H389" s="94">
        <v>5987781.342530041</v>
      </c>
    </row>
    <row r="390" spans="1:8" x14ac:dyDescent="0.3">
      <c r="A390" s="54">
        <v>389</v>
      </c>
      <c r="B390" s="12">
        <v>3497794.7922231657</v>
      </c>
      <c r="G390" s="54">
        <v>389</v>
      </c>
      <c r="H390" s="94">
        <v>5876536.6777065592</v>
      </c>
    </row>
    <row r="391" spans="1:8" x14ac:dyDescent="0.3">
      <c r="A391" s="54">
        <v>390</v>
      </c>
      <c r="B391" s="12">
        <v>3585009.9274093392</v>
      </c>
      <c r="G391" s="54">
        <v>390</v>
      </c>
      <c r="H391" s="94">
        <v>5871743.4796560453</v>
      </c>
    </row>
    <row r="392" spans="1:8" x14ac:dyDescent="0.3">
      <c r="A392" s="54">
        <v>391</v>
      </c>
      <c r="B392" s="12">
        <v>3594580.709704225</v>
      </c>
      <c r="G392" s="54">
        <v>391</v>
      </c>
      <c r="H392" s="94">
        <v>5882125.0353894718</v>
      </c>
    </row>
    <row r="393" spans="1:8" x14ac:dyDescent="0.3">
      <c r="A393" s="54">
        <v>392</v>
      </c>
      <c r="B393" s="12">
        <v>3295712.4227837082</v>
      </c>
      <c r="G393" s="54">
        <v>392</v>
      </c>
      <c r="H393" s="94">
        <v>5890243.7532089148</v>
      </c>
    </row>
    <row r="394" spans="1:8" x14ac:dyDescent="0.3">
      <c r="A394" s="54">
        <v>393</v>
      </c>
      <c r="B394" s="12">
        <v>3469783.259922551</v>
      </c>
      <c r="G394" s="54">
        <v>393</v>
      </c>
      <c r="H394" s="94">
        <v>5762701.250433974</v>
      </c>
    </row>
    <row r="395" spans="1:8" x14ac:dyDescent="0.3">
      <c r="A395" s="54">
        <v>394</v>
      </c>
      <c r="B395" s="12">
        <v>3202496.5857963301</v>
      </c>
      <c r="G395" s="54">
        <v>394</v>
      </c>
      <c r="H395" s="94">
        <v>5843389.8311199248</v>
      </c>
    </row>
    <row r="396" spans="1:8" x14ac:dyDescent="0.3">
      <c r="A396" s="54">
        <v>395</v>
      </c>
      <c r="B396" s="12">
        <v>3520626.9182049204</v>
      </c>
      <c r="G396" s="54">
        <v>395</v>
      </c>
      <c r="H396" s="94">
        <v>5905497.6698136833</v>
      </c>
    </row>
    <row r="397" spans="1:8" x14ac:dyDescent="0.3">
      <c r="A397" s="54">
        <v>396</v>
      </c>
      <c r="B397" s="12">
        <v>3105420.8154117069</v>
      </c>
      <c r="G397" s="54">
        <v>396</v>
      </c>
      <c r="H397" s="94">
        <v>5873174.8387015387</v>
      </c>
    </row>
    <row r="398" spans="1:8" x14ac:dyDescent="0.3">
      <c r="A398" s="54">
        <v>397</v>
      </c>
      <c r="B398" s="12">
        <v>3402947.6319156126</v>
      </c>
      <c r="G398" s="54">
        <v>397</v>
      </c>
      <c r="H398" s="94">
        <v>5866554.9703064142</v>
      </c>
    </row>
    <row r="399" spans="1:8" x14ac:dyDescent="0.3">
      <c r="A399" s="54">
        <v>398</v>
      </c>
      <c r="B399" s="12">
        <v>3378868.1638931613</v>
      </c>
      <c r="G399" s="54">
        <v>398</v>
      </c>
      <c r="H399" s="94">
        <v>5941172.0301896688</v>
      </c>
    </row>
    <row r="400" spans="1:8" x14ac:dyDescent="0.3">
      <c r="A400" s="54">
        <v>399</v>
      </c>
      <c r="B400" s="12">
        <v>3520019.0428590602</v>
      </c>
      <c r="G400" s="54">
        <v>399</v>
      </c>
      <c r="H400" s="94">
        <v>5905707.7541117826</v>
      </c>
    </row>
    <row r="401" spans="1:8" x14ac:dyDescent="0.3">
      <c r="A401" s="54">
        <v>400</v>
      </c>
      <c r="B401" s="12">
        <v>3466428.667359076</v>
      </c>
      <c r="G401" s="54">
        <v>400</v>
      </c>
      <c r="H401" s="94">
        <v>5784236.8347651493</v>
      </c>
    </row>
    <row r="402" spans="1:8" x14ac:dyDescent="0.3">
      <c r="A402" s="54">
        <v>401</v>
      </c>
      <c r="B402" s="12">
        <v>3588511.217528577</v>
      </c>
      <c r="G402" s="54">
        <v>401</v>
      </c>
      <c r="H402" s="94">
        <v>5913916.5391310165</v>
      </c>
    </row>
    <row r="403" spans="1:8" x14ac:dyDescent="0.3">
      <c r="A403" s="54">
        <v>402</v>
      </c>
      <c r="B403" s="12">
        <v>3411986.5486588744</v>
      </c>
      <c r="G403" s="54">
        <v>402</v>
      </c>
      <c r="H403" s="94">
        <v>5865932.0054750061</v>
      </c>
    </row>
    <row r="404" spans="1:8" x14ac:dyDescent="0.3">
      <c r="A404" s="54">
        <v>403</v>
      </c>
      <c r="B404" s="12">
        <v>3407944.0024268199</v>
      </c>
      <c r="G404" s="54">
        <v>403</v>
      </c>
      <c r="H404" s="94">
        <v>5831196.7011282612</v>
      </c>
    </row>
    <row r="405" spans="1:8" x14ac:dyDescent="0.3">
      <c r="A405" s="54">
        <v>404</v>
      </c>
      <c r="B405" s="12">
        <v>3376781.5992154833</v>
      </c>
      <c r="G405" s="54">
        <v>404</v>
      </c>
      <c r="H405" s="94">
        <v>5738238.6007122258</v>
      </c>
    </row>
    <row r="406" spans="1:8" x14ac:dyDescent="0.3">
      <c r="A406" s="54">
        <v>405</v>
      </c>
      <c r="B406" s="12">
        <v>3342106.8633944327</v>
      </c>
      <c r="G406" s="54">
        <v>405</v>
      </c>
      <c r="H406" s="94">
        <v>5911640.3946653865</v>
      </c>
    </row>
    <row r="407" spans="1:8" x14ac:dyDescent="0.3">
      <c r="A407" s="54">
        <v>406</v>
      </c>
      <c r="B407" s="12">
        <v>3309545.1202822435</v>
      </c>
      <c r="G407" s="54">
        <v>406</v>
      </c>
      <c r="H407" s="94">
        <v>5758507.0498182252</v>
      </c>
    </row>
    <row r="408" spans="1:8" x14ac:dyDescent="0.3">
      <c r="A408" s="54">
        <v>407</v>
      </c>
      <c r="B408" s="12">
        <v>3212336.6606118395</v>
      </c>
      <c r="G408" s="54">
        <v>407</v>
      </c>
      <c r="H408" s="94">
        <v>5925807.2392821591</v>
      </c>
    </row>
    <row r="409" spans="1:8" x14ac:dyDescent="0.3">
      <c r="A409" s="54">
        <v>408</v>
      </c>
      <c r="B409" s="12">
        <v>3409938.1408839617</v>
      </c>
      <c r="G409" s="54">
        <v>408</v>
      </c>
      <c r="H409" s="94">
        <v>5768795.0308627561</v>
      </c>
    </row>
    <row r="410" spans="1:8" x14ac:dyDescent="0.3">
      <c r="A410" s="54">
        <v>409</v>
      </c>
      <c r="B410" s="12">
        <v>3476312.0276924218</v>
      </c>
      <c r="G410" s="54">
        <v>409</v>
      </c>
      <c r="H410" s="94">
        <v>5866209.8657852029</v>
      </c>
    </row>
    <row r="411" spans="1:8" x14ac:dyDescent="0.3">
      <c r="A411" s="54">
        <v>410</v>
      </c>
      <c r="B411" s="12">
        <v>3552515.8508629706</v>
      </c>
      <c r="G411" s="54">
        <v>410</v>
      </c>
      <c r="H411" s="94">
        <v>5853714.96340812</v>
      </c>
    </row>
    <row r="412" spans="1:8" x14ac:dyDescent="0.3">
      <c r="A412" s="54">
        <v>411</v>
      </c>
      <c r="B412" s="12">
        <v>3436909.3109159316</v>
      </c>
      <c r="G412" s="54">
        <v>411</v>
      </c>
      <c r="H412" s="94">
        <v>5934085.4252136955</v>
      </c>
    </row>
    <row r="413" spans="1:8" x14ac:dyDescent="0.3">
      <c r="A413" s="54">
        <v>412</v>
      </c>
      <c r="B413" s="12">
        <v>3778708.1482314137</v>
      </c>
      <c r="G413" s="54">
        <v>412</v>
      </c>
      <c r="H413" s="94">
        <v>5832263.4334135782</v>
      </c>
    </row>
    <row r="414" spans="1:8" x14ac:dyDescent="0.3">
      <c r="A414" s="54">
        <v>413</v>
      </c>
      <c r="B414" s="12">
        <v>3186926.2271778923</v>
      </c>
      <c r="G414" s="54">
        <v>413</v>
      </c>
      <c r="H414" s="94">
        <v>5842065.1254435917</v>
      </c>
    </row>
    <row r="415" spans="1:8" x14ac:dyDescent="0.3">
      <c r="A415" s="54">
        <v>414</v>
      </c>
      <c r="B415" s="12">
        <v>3504657.6914301217</v>
      </c>
      <c r="G415" s="54">
        <v>414</v>
      </c>
      <c r="H415" s="94">
        <v>5860665.1822717572</v>
      </c>
    </row>
    <row r="416" spans="1:8" x14ac:dyDescent="0.3">
      <c r="A416" s="54">
        <v>415</v>
      </c>
      <c r="B416" s="12">
        <v>3350961.8536197799</v>
      </c>
      <c r="G416" s="54">
        <v>415</v>
      </c>
      <c r="H416" s="94">
        <v>5828096.663226488</v>
      </c>
    </row>
    <row r="417" spans="1:8" x14ac:dyDescent="0.3">
      <c r="A417" s="54">
        <v>416</v>
      </c>
      <c r="B417" s="12">
        <v>3516152.8893814529</v>
      </c>
      <c r="G417" s="54">
        <v>416</v>
      </c>
      <c r="H417" s="94">
        <v>5779100.4199418193</v>
      </c>
    </row>
    <row r="418" spans="1:8" x14ac:dyDescent="0.3">
      <c r="A418" s="54">
        <v>417</v>
      </c>
      <c r="B418" s="12">
        <v>3426148.5005648173</v>
      </c>
      <c r="G418" s="54">
        <v>417</v>
      </c>
      <c r="H418" s="94">
        <v>5835383.3725265758</v>
      </c>
    </row>
    <row r="419" spans="1:8" x14ac:dyDescent="0.3">
      <c r="A419" s="54">
        <v>418</v>
      </c>
      <c r="B419" s="12">
        <v>3527815.3433263302</v>
      </c>
      <c r="G419" s="54">
        <v>418</v>
      </c>
      <c r="H419" s="94">
        <v>5954200.04993458</v>
      </c>
    </row>
    <row r="420" spans="1:8" x14ac:dyDescent="0.3">
      <c r="A420" s="54">
        <v>419</v>
      </c>
      <c r="B420" s="12">
        <v>3349505.8720453032</v>
      </c>
      <c r="G420" s="54">
        <v>419</v>
      </c>
      <c r="H420" s="94">
        <v>5692577.1201780047</v>
      </c>
    </row>
    <row r="421" spans="1:8" x14ac:dyDescent="0.3">
      <c r="A421" s="54">
        <v>420</v>
      </c>
      <c r="B421" s="12">
        <v>3424302.6727044438</v>
      </c>
      <c r="G421" s="54">
        <v>420</v>
      </c>
      <c r="H421" s="94">
        <v>5781648.7586526843</v>
      </c>
    </row>
    <row r="422" spans="1:8" x14ac:dyDescent="0.3">
      <c r="A422" s="54">
        <v>421</v>
      </c>
      <c r="B422" s="12">
        <v>3496254.6127630398</v>
      </c>
      <c r="G422" s="54">
        <v>421</v>
      </c>
      <c r="H422" s="94">
        <v>5864552.3753680019</v>
      </c>
    </row>
    <row r="423" spans="1:8" x14ac:dyDescent="0.3">
      <c r="A423" s="54">
        <v>422</v>
      </c>
      <c r="B423" s="12">
        <v>3319656.9830129473</v>
      </c>
      <c r="G423" s="54">
        <v>422</v>
      </c>
      <c r="H423" s="94">
        <v>5863946.6194764739</v>
      </c>
    </row>
    <row r="424" spans="1:8" x14ac:dyDescent="0.3">
      <c r="A424" s="54">
        <v>423</v>
      </c>
      <c r="B424" s="12">
        <v>3624010.8195563527</v>
      </c>
      <c r="G424" s="54">
        <v>423</v>
      </c>
      <c r="H424" s="94">
        <v>5872832.6644247491</v>
      </c>
    </row>
    <row r="425" spans="1:8" x14ac:dyDescent="0.3">
      <c r="A425" s="54">
        <v>424</v>
      </c>
      <c r="B425" s="12">
        <v>3352072.4086294966</v>
      </c>
      <c r="G425" s="54">
        <v>424</v>
      </c>
      <c r="H425" s="94">
        <v>5867398.7455214076</v>
      </c>
    </row>
    <row r="426" spans="1:8" x14ac:dyDescent="0.3">
      <c r="A426" s="54">
        <v>425</v>
      </c>
      <c r="B426" s="12">
        <v>3358519.220528231</v>
      </c>
      <c r="G426" s="54">
        <v>425</v>
      </c>
      <c r="H426" s="94">
        <v>5939848.2976352451</v>
      </c>
    </row>
    <row r="427" spans="1:8" x14ac:dyDescent="0.3">
      <c r="A427" s="54">
        <v>426</v>
      </c>
      <c r="B427" s="12">
        <v>3703885.0780191566</v>
      </c>
      <c r="G427" s="54">
        <v>426</v>
      </c>
      <c r="H427" s="94">
        <v>5873514.3984878035</v>
      </c>
    </row>
    <row r="428" spans="1:8" x14ac:dyDescent="0.3">
      <c r="A428" s="54">
        <v>427</v>
      </c>
      <c r="B428" s="12">
        <v>3614462.3071915624</v>
      </c>
      <c r="G428" s="54">
        <v>427</v>
      </c>
      <c r="H428" s="94">
        <v>5986460.6031509349</v>
      </c>
    </row>
    <row r="429" spans="1:8" x14ac:dyDescent="0.3">
      <c r="A429" s="54">
        <v>428</v>
      </c>
      <c r="B429" s="12">
        <v>3396605.4665414449</v>
      </c>
      <c r="G429" s="54">
        <v>428</v>
      </c>
      <c r="H429" s="94">
        <v>5875342.0103854463</v>
      </c>
    </row>
    <row r="430" spans="1:8" x14ac:dyDescent="0.3">
      <c r="A430" s="54">
        <v>429</v>
      </c>
      <c r="B430" s="12">
        <v>3564748.1852599657</v>
      </c>
      <c r="G430" s="54">
        <v>429</v>
      </c>
      <c r="H430" s="94">
        <v>5855294.7615401484</v>
      </c>
    </row>
    <row r="431" spans="1:8" x14ac:dyDescent="0.3">
      <c r="A431" s="54">
        <v>430</v>
      </c>
      <c r="B431" s="12">
        <v>3434355.0764330318</v>
      </c>
      <c r="G431" s="54">
        <v>430</v>
      </c>
      <c r="H431" s="94">
        <v>5916115.2098249877</v>
      </c>
    </row>
    <row r="432" spans="1:8" x14ac:dyDescent="0.3">
      <c r="A432" s="54">
        <v>431</v>
      </c>
      <c r="B432" s="12">
        <v>3722897.7840033467</v>
      </c>
      <c r="G432" s="54">
        <v>431</v>
      </c>
      <c r="H432" s="94">
        <v>5845715.1698217923</v>
      </c>
    </row>
    <row r="433" spans="1:8" x14ac:dyDescent="0.3">
      <c r="A433" s="54">
        <v>432</v>
      </c>
      <c r="B433" s="12">
        <v>3330738.6152835735</v>
      </c>
      <c r="G433" s="54">
        <v>432</v>
      </c>
      <c r="H433" s="94">
        <v>5910070.8795099482</v>
      </c>
    </row>
    <row r="434" spans="1:8" x14ac:dyDescent="0.3">
      <c r="A434" s="54">
        <v>433</v>
      </c>
      <c r="B434" s="12">
        <v>3676234.3656463767</v>
      </c>
      <c r="G434" s="54">
        <v>433</v>
      </c>
      <c r="H434" s="94">
        <v>5775092.8959362665</v>
      </c>
    </row>
    <row r="435" spans="1:8" x14ac:dyDescent="0.3">
      <c r="A435" s="54">
        <v>434</v>
      </c>
      <c r="B435" s="12">
        <v>3232597.9441673113</v>
      </c>
      <c r="G435" s="54">
        <v>434</v>
      </c>
      <c r="H435" s="94">
        <v>5998355.133908784</v>
      </c>
    </row>
    <row r="436" spans="1:8" x14ac:dyDescent="0.3">
      <c r="A436" s="54">
        <v>435</v>
      </c>
      <c r="B436" s="12">
        <v>3277008.3281731857</v>
      </c>
      <c r="G436" s="54">
        <v>435</v>
      </c>
      <c r="H436" s="94">
        <v>5794633.8188155629</v>
      </c>
    </row>
    <row r="437" spans="1:8" x14ac:dyDescent="0.3">
      <c r="A437" s="54">
        <v>436</v>
      </c>
      <c r="B437" s="12">
        <v>3767055.7737126104</v>
      </c>
      <c r="G437" s="54">
        <v>436</v>
      </c>
      <c r="H437" s="94">
        <v>5970017.9873860246</v>
      </c>
    </row>
    <row r="438" spans="1:8" x14ac:dyDescent="0.3">
      <c r="A438" s="54">
        <v>437</v>
      </c>
      <c r="B438" s="12">
        <v>3235025.7926425249</v>
      </c>
      <c r="G438" s="54">
        <v>437</v>
      </c>
      <c r="H438" s="94">
        <v>5837722.9394746292</v>
      </c>
    </row>
    <row r="439" spans="1:8" x14ac:dyDescent="0.3">
      <c r="A439" s="54">
        <v>438</v>
      </c>
      <c r="B439" s="12">
        <v>3541850.7859851085</v>
      </c>
      <c r="G439" s="54">
        <v>438</v>
      </c>
      <c r="H439" s="94">
        <v>5888725.2135417564</v>
      </c>
    </row>
    <row r="440" spans="1:8" x14ac:dyDescent="0.3">
      <c r="A440" s="54">
        <v>439</v>
      </c>
      <c r="B440" s="12">
        <v>3306701.928611422</v>
      </c>
      <c r="G440" s="54">
        <v>439</v>
      </c>
      <c r="H440" s="94">
        <v>5955385.3442215584</v>
      </c>
    </row>
    <row r="441" spans="1:8" x14ac:dyDescent="0.3">
      <c r="A441" s="54">
        <v>440</v>
      </c>
      <c r="B441" s="12">
        <v>3559242.112517402</v>
      </c>
      <c r="G441" s="54">
        <v>440</v>
      </c>
      <c r="H441" s="94">
        <v>5887799.0933044069</v>
      </c>
    </row>
    <row r="442" spans="1:8" x14ac:dyDescent="0.3">
      <c r="A442" s="54">
        <v>441</v>
      </c>
      <c r="B442" s="12">
        <v>3406511.1625349913</v>
      </c>
      <c r="G442" s="54">
        <v>441</v>
      </c>
      <c r="H442" s="94">
        <v>5827239.7073720424</v>
      </c>
    </row>
    <row r="443" spans="1:8" x14ac:dyDescent="0.3">
      <c r="A443" s="54">
        <v>442</v>
      </c>
      <c r="B443" s="12">
        <v>3121123.354293027</v>
      </c>
      <c r="G443" s="54">
        <v>442</v>
      </c>
      <c r="H443" s="94">
        <v>5824367.0790325459</v>
      </c>
    </row>
    <row r="444" spans="1:8" x14ac:dyDescent="0.3">
      <c r="A444" s="54">
        <v>443</v>
      </c>
      <c r="B444" s="12">
        <v>3616778.9070170354</v>
      </c>
      <c r="G444" s="54">
        <v>443</v>
      </c>
      <c r="H444" s="94">
        <v>5946874.7395480704</v>
      </c>
    </row>
    <row r="445" spans="1:8" x14ac:dyDescent="0.3">
      <c r="A445" s="54">
        <v>444</v>
      </c>
      <c r="B445" s="12">
        <v>3157354.2081217454</v>
      </c>
      <c r="G445" s="54">
        <v>444</v>
      </c>
      <c r="H445" s="94">
        <v>5888611.0962692369</v>
      </c>
    </row>
    <row r="446" spans="1:8" x14ac:dyDescent="0.3">
      <c r="A446" s="54">
        <v>445</v>
      </c>
      <c r="B446" s="12">
        <v>3423911.9449890484</v>
      </c>
      <c r="G446" s="54">
        <v>445</v>
      </c>
      <c r="H446" s="94">
        <v>5776443.2783968858</v>
      </c>
    </row>
    <row r="447" spans="1:8" x14ac:dyDescent="0.3">
      <c r="A447" s="54">
        <v>446</v>
      </c>
      <c r="B447" s="12">
        <v>3383974.2712793835</v>
      </c>
      <c r="G447" s="54">
        <v>446</v>
      </c>
      <c r="H447" s="94">
        <v>6020427.905070127</v>
      </c>
    </row>
    <row r="448" spans="1:8" x14ac:dyDescent="0.3">
      <c r="A448" s="54">
        <v>447</v>
      </c>
      <c r="B448" s="12">
        <v>3448802.5799282128</v>
      </c>
      <c r="G448" s="54">
        <v>447</v>
      </c>
      <c r="H448" s="94">
        <v>5883562.9201316908</v>
      </c>
    </row>
    <row r="449" spans="1:8" x14ac:dyDescent="0.3">
      <c r="A449" s="54">
        <v>448</v>
      </c>
      <c r="B449" s="12">
        <v>3443531.5111944913</v>
      </c>
      <c r="G449" s="54">
        <v>448</v>
      </c>
      <c r="H449" s="94">
        <v>5861858.1255341135</v>
      </c>
    </row>
    <row r="450" spans="1:8" x14ac:dyDescent="0.3">
      <c r="A450" s="54">
        <v>449</v>
      </c>
      <c r="B450" s="12">
        <v>3650135.9480888243</v>
      </c>
      <c r="G450" s="54">
        <v>449</v>
      </c>
      <c r="H450" s="94">
        <v>5920388.7418400198</v>
      </c>
    </row>
    <row r="451" spans="1:8" x14ac:dyDescent="0.3">
      <c r="A451" s="54">
        <v>450</v>
      </c>
      <c r="B451" s="12">
        <v>3332866.1828340408</v>
      </c>
      <c r="G451" s="54">
        <v>450</v>
      </c>
      <c r="H451" s="94">
        <v>5770650.0538681215</v>
      </c>
    </row>
    <row r="452" spans="1:8" x14ac:dyDescent="0.3">
      <c r="A452" s="54">
        <v>451</v>
      </c>
      <c r="B452" s="12">
        <v>3386961.3887195452</v>
      </c>
      <c r="G452" s="54">
        <v>451</v>
      </c>
      <c r="H452" s="94">
        <v>5882583.3020832241</v>
      </c>
    </row>
    <row r="453" spans="1:8" x14ac:dyDescent="0.3">
      <c r="A453" s="54">
        <v>452</v>
      </c>
      <c r="B453" s="12">
        <v>3332937.4047251032</v>
      </c>
      <c r="G453" s="54">
        <v>452</v>
      </c>
      <c r="H453" s="94">
        <v>5761058.9285556059</v>
      </c>
    </row>
    <row r="454" spans="1:8" x14ac:dyDescent="0.3">
      <c r="A454" s="54">
        <v>453</v>
      </c>
      <c r="B454" s="12">
        <v>3404209.7972627222</v>
      </c>
      <c r="G454" s="54">
        <v>453</v>
      </c>
      <c r="H454" s="94">
        <v>5917790.3215188393</v>
      </c>
    </row>
    <row r="455" spans="1:8" x14ac:dyDescent="0.3">
      <c r="A455" s="54">
        <v>454</v>
      </c>
      <c r="B455" s="12">
        <v>3361695.8037577365</v>
      </c>
      <c r="G455" s="54">
        <v>454</v>
      </c>
      <c r="H455" s="94">
        <v>5843003.3085211944</v>
      </c>
    </row>
    <row r="456" spans="1:8" x14ac:dyDescent="0.3">
      <c r="A456" s="54">
        <v>455</v>
      </c>
      <c r="B456" s="12">
        <v>3193055.392210044</v>
      </c>
      <c r="G456" s="54">
        <v>455</v>
      </c>
      <c r="H456" s="94">
        <v>5835721.6964875115</v>
      </c>
    </row>
    <row r="457" spans="1:8" x14ac:dyDescent="0.3">
      <c r="A457" s="54">
        <v>456</v>
      </c>
      <c r="B457" s="12">
        <v>3391905.2660699137</v>
      </c>
      <c r="G457" s="54">
        <v>456</v>
      </c>
      <c r="H457" s="94">
        <v>5945656.115918858</v>
      </c>
    </row>
    <row r="458" spans="1:8" x14ac:dyDescent="0.3">
      <c r="A458" s="54">
        <v>457</v>
      </c>
      <c r="B458" s="12">
        <v>3518405.1309294486</v>
      </c>
      <c r="G458" s="54">
        <v>457</v>
      </c>
      <c r="H458" s="94">
        <v>5896578.8396169152</v>
      </c>
    </row>
    <row r="459" spans="1:8" x14ac:dyDescent="0.3">
      <c r="A459" s="54">
        <v>458</v>
      </c>
      <c r="B459" s="12">
        <v>3511498.5657929773</v>
      </c>
      <c r="G459" s="54">
        <v>458</v>
      </c>
      <c r="H459" s="94">
        <v>5785925.4127177428</v>
      </c>
    </row>
    <row r="460" spans="1:8" x14ac:dyDescent="0.3">
      <c r="A460" s="54">
        <v>459</v>
      </c>
      <c r="B460" s="12">
        <v>3281129.2894302341</v>
      </c>
      <c r="G460" s="54">
        <v>459</v>
      </c>
      <c r="H460" s="94">
        <v>5800627.0339445546</v>
      </c>
    </row>
    <row r="461" spans="1:8" x14ac:dyDescent="0.3">
      <c r="A461" s="54">
        <v>460</v>
      </c>
      <c r="B461" s="12">
        <v>3643482.6470120782</v>
      </c>
      <c r="G461" s="54">
        <v>460</v>
      </c>
      <c r="H461" s="94">
        <v>5862990.4190780465</v>
      </c>
    </row>
    <row r="462" spans="1:8" x14ac:dyDescent="0.3">
      <c r="A462" s="54">
        <v>461</v>
      </c>
      <c r="B462" s="12">
        <v>3295467.6407547798</v>
      </c>
      <c r="G462" s="54">
        <v>461</v>
      </c>
      <c r="H462" s="94">
        <v>5824569.7665677583</v>
      </c>
    </row>
    <row r="463" spans="1:8" x14ac:dyDescent="0.3">
      <c r="A463" s="54">
        <v>462</v>
      </c>
      <c r="B463" s="12">
        <v>3623927.3557679635</v>
      </c>
      <c r="G463" s="54">
        <v>462</v>
      </c>
      <c r="H463" s="94">
        <v>5831693.7348355092</v>
      </c>
    </row>
    <row r="464" spans="1:8" x14ac:dyDescent="0.3">
      <c r="A464" s="54">
        <v>463</v>
      </c>
      <c r="B464" s="12">
        <v>3583172.4015716068</v>
      </c>
      <c r="G464" s="54">
        <v>463</v>
      </c>
      <c r="H464" s="94">
        <v>5829400.028824497</v>
      </c>
    </row>
    <row r="465" spans="1:8" x14ac:dyDescent="0.3">
      <c r="A465" s="54">
        <v>464</v>
      </c>
      <c r="B465" s="12">
        <v>3309496.1306612338</v>
      </c>
      <c r="G465" s="54">
        <v>464</v>
      </c>
      <c r="H465" s="94">
        <v>5913162.4552976768</v>
      </c>
    </row>
    <row r="466" spans="1:8" x14ac:dyDescent="0.3">
      <c r="A466" s="54">
        <v>465</v>
      </c>
      <c r="B466" s="12">
        <v>3233632.2863199767</v>
      </c>
      <c r="G466" s="54">
        <v>465</v>
      </c>
      <c r="H466" s="94">
        <v>5875331.2215426341</v>
      </c>
    </row>
    <row r="467" spans="1:8" x14ac:dyDescent="0.3">
      <c r="A467" s="54">
        <v>466</v>
      </c>
      <c r="B467" s="12">
        <v>3421023.0079792216</v>
      </c>
      <c r="G467" s="54">
        <v>466</v>
      </c>
      <c r="H467" s="94">
        <v>5995659.5714563625</v>
      </c>
    </row>
    <row r="468" spans="1:8" x14ac:dyDescent="0.3">
      <c r="A468" s="54">
        <v>467</v>
      </c>
      <c r="B468" s="12">
        <v>3451702.8661923464</v>
      </c>
      <c r="G468" s="54">
        <v>467</v>
      </c>
      <c r="H468" s="94">
        <v>5792350.6392607922</v>
      </c>
    </row>
    <row r="469" spans="1:8" x14ac:dyDescent="0.3">
      <c r="A469" s="54">
        <v>468</v>
      </c>
      <c r="B469" s="12">
        <v>3770379.1532117184</v>
      </c>
      <c r="G469" s="54">
        <v>468</v>
      </c>
      <c r="H469" s="94">
        <v>5921086.9368278896</v>
      </c>
    </row>
    <row r="470" spans="1:8" x14ac:dyDescent="0.3">
      <c r="A470" s="54">
        <v>469</v>
      </c>
      <c r="B470" s="12">
        <v>3526189.4461255674</v>
      </c>
      <c r="G470" s="54">
        <v>469</v>
      </c>
      <c r="H470" s="94">
        <v>5782130.7552771159</v>
      </c>
    </row>
    <row r="471" spans="1:8" x14ac:dyDescent="0.3">
      <c r="A471" s="54">
        <v>470</v>
      </c>
      <c r="B471" s="12">
        <v>3789826.0182309169</v>
      </c>
      <c r="G471" s="54">
        <v>470</v>
      </c>
      <c r="H471" s="94">
        <v>5839625.3745417427</v>
      </c>
    </row>
    <row r="472" spans="1:8" x14ac:dyDescent="0.3">
      <c r="A472" s="54">
        <v>471</v>
      </c>
      <c r="B472" s="12">
        <v>3710586.5754217217</v>
      </c>
      <c r="G472" s="54">
        <v>471</v>
      </c>
      <c r="H472" s="94">
        <v>5911917.31614157</v>
      </c>
    </row>
    <row r="473" spans="1:8" x14ac:dyDescent="0.3">
      <c r="A473" s="54">
        <v>472</v>
      </c>
      <c r="B473" s="12">
        <v>3690692.1553477254</v>
      </c>
      <c r="G473" s="54">
        <v>472</v>
      </c>
      <c r="H473" s="94">
        <v>5916291.700148494</v>
      </c>
    </row>
    <row r="474" spans="1:8" x14ac:dyDescent="0.3">
      <c r="A474" s="54">
        <v>473</v>
      </c>
      <c r="B474" s="12">
        <v>3368142.4519761615</v>
      </c>
      <c r="G474" s="54">
        <v>473</v>
      </c>
      <c r="H474" s="94">
        <v>5889615.7474558251</v>
      </c>
    </row>
    <row r="475" spans="1:8" x14ac:dyDescent="0.3">
      <c r="A475" s="54">
        <v>474</v>
      </c>
      <c r="B475" s="12">
        <v>3358245.769611666</v>
      </c>
      <c r="G475" s="54">
        <v>474</v>
      </c>
      <c r="H475" s="94">
        <v>5906593.7808120865</v>
      </c>
    </row>
    <row r="476" spans="1:8" x14ac:dyDescent="0.3">
      <c r="A476" s="54">
        <v>475</v>
      </c>
      <c r="B476" s="12">
        <v>3375983.0994854327</v>
      </c>
      <c r="G476" s="54">
        <v>475</v>
      </c>
      <c r="H476" s="94">
        <v>5715360.1953171976</v>
      </c>
    </row>
    <row r="477" spans="1:8" x14ac:dyDescent="0.3">
      <c r="A477" s="54">
        <v>476</v>
      </c>
      <c r="B477" s="12">
        <v>3892446.1482302779</v>
      </c>
      <c r="G477" s="54">
        <v>476</v>
      </c>
      <c r="H477" s="94">
        <v>5829507.0953234602</v>
      </c>
    </row>
    <row r="478" spans="1:8" x14ac:dyDescent="0.3">
      <c r="A478" s="54">
        <v>477</v>
      </c>
      <c r="B478" s="12">
        <v>3871482.757641701</v>
      </c>
      <c r="G478" s="54">
        <v>477</v>
      </c>
      <c r="H478" s="94">
        <v>5905677.9275454525</v>
      </c>
    </row>
    <row r="479" spans="1:8" x14ac:dyDescent="0.3">
      <c r="A479" s="54">
        <v>478</v>
      </c>
      <c r="B479" s="12">
        <v>3314263.214305508</v>
      </c>
      <c r="G479" s="54">
        <v>478</v>
      </c>
      <c r="H479" s="94">
        <v>5863382.2584526064</v>
      </c>
    </row>
    <row r="480" spans="1:8" x14ac:dyDescent="0.3">
      <c r="A480" s="54">
        <v>479</v>
      </c>
      <c r="B480" s="12">
        <v>3300326.0762493177</v>
      </c>
      <c r="G480" s="54">
        <v>479</v>
      </c>
      <c r="H480" s="94">
        <v>5884853.6904898454</v>
      </c>
    </row>
    <row r="481" spans="1:8" x14ac:dyDescent="0.3">
      <c r="A481" s="54">
        <v>480</v>
      </c>
      <c r="B481" s="12">
        <v>3437899.1459354633</v>
      </c>
      <c r="G481" s="54">
        <v>480</v>
      </c>
      <c r="H481" s="94">
        <v>5869474.2719688881</v>
      </c>
    </row>
    <row r="482" spans="1:8" x14ac:dyDescent="0.3">
      <c r="A482" s="54">
        <v>481</v>
      </c>
      <c r="B482" s="12">
        <v>3849268.2635369687</v>
      </c>
      <c r="G482" s="54">
        <v>481</v>
      </c>
      <c r="H482" s="94">
        <v>5954692.3485747129</v>
      </c>
    </row>
    <row r="483" spans="1:8" x14ac:dyDescent="0.3">
      <c r="A483" s="54">
        <v>482</v>
      </c>
      <c r="B483" s="12">
        <v>3802335.5820771465</v>
      </c>
      <c r="G483" s="54">
        <v>482</v>
      </c>
      <c r="H483" s="94">
        <v>5920963.444796131</v>
      </c>
    </row>
    <row r="484" spans="1:8" x14ac:dyDescent="0.3">
      <c r="A484" s="54">
        <v>483</v>
      </c>
      <c r="B484" s="12">
        <v>3529385.0920649935</v>
      </c>
      <c r="G484" s="54">
        <v>483</v>
      </c>
      <c r="H484" s="94">
        <v>5937483.3301786585</v>
      </c>
    </row>
    <row r="485" spans="1:8" x14ac:dyDescent="0.3">
      <c r="A485" s="54">
        <v>484</v>
      </c>
      <c r="B485" s="12">
        <v>3539129.1574162175</v>
      </c>
      <c r="G485" s="54">
        <v>484</v>
      </c>
      <c r="H485" s="94">
        <v>5768055.9940938065</v>
      </c>
    </row>
    <row r="486" spans="1:8" x14ac:dyDescent="0.3">
      <c r="A486" s="54">
        <v>485</v>
      </c>
      <c r="B486" s="12">
        <v>3639931.6275808378</v>
      </c>
      <c r="G486" s="54">
        <v>485</v>
      </c>
      <c r="H486" s="94">
        <v>5781793.1970172925</v>
      </c>
    </row>
    <row r="487" spans="1:8" x14ac:dyDescent="0.3">
      <c r="A487" s="54">
        <v>486</v>
      </c>
      <c r="B487" s="12">
        <v>3388070.478773891</v>
      </c>
      <c r="G487" s="54">
        <v>486</v>
      </c>
      <c r="H487" s="94">
        <v>5831461.038327693</v>
      </c>
    </row>
    <row r="488" spans="1:8" x14ac:dyDescent="0.3">
      <c r="A488" s="54">
        <v>487</v>
      </c>
      <c r="B488" s="12">
        <v>3530639.4065474514</v>
      </c>
      <c r="G488" s="54">
        <v>487</v>
      </c>
      <c r="H488" s="94">
        <v>5809074.769105495</v>
      </c>
    </row>
    <row r="489" spans="1:8" x14ac:dyDescent="0.3">
      <c r="A489" s="54">
        <v>488</v>
      </c>
      <c r="B489" s="12">
        <v>3395832.6543261637</v>
      </c>
      <c r="G489" s="54">
        <v>488</v>
      </c>
      <c r="H489" s="94">
        <v>5760332.8835270386</v>
      </c>
    </row>
    <row r="490" spans="1:8" x14ac:dyDescent="0.3">
      <c r="A490" s="54">
        <v>489</v>
      </c>
      <c r="B490" s="12">
        <v>3468004.6211442347</v>
      </c>
      <c r="G490" s="54">
        <v>489</v>
      </c>
      <c r="H490" s="94">
        <v>5820345.1576919826</v>
      </c>
    </row>
    <row r="491" spans="1:8" x14ac:dyDescent="0.3">
      <c r="A491" s="54">
        <v>490</v>
      </c>
      <c r="B491" s="12">
        <v>3600105.546896629</v>
      </c>
      <c r="G491" s="54">
        <v>490</v>
      </c>
      <c r="H491" s="94">
        <v>5825349.3186152345</v>
      </c>
    </row>
    <row r="492" spans="1:8" x14ac:dyDescent="0.3">
      <c r="A492" s="54">
        <v>491</v>
      </c>
      <c r="B492" s="12">
        <v>3512661.4168833499</v>
      </c>
      <c r="G492" s="54">
        <v>491</v>
      </c>
      <c r="H492" s="94">
        <v>5852496.1354110716</v>
      </c>
    </row>
    <row r="493" spans="1:8" x14ac:dyDescent="0.3">
      <c r="A493" s="54">
        <v>492</v>
      </c>
      <c r="B493" s="12">
        <v>3460650.0772704072</v>
      </c>
      <c r="G493" s="54">
        <v>492</v>
      </c>
      <c r="H493" s="94">
        <v>5935301.0456946781</v>
      </c>
    </row>
    <row r="494" spans="1:8" x14ac:dyDescent="0.3">
      <c r="A494" s="54">
        <v>493</v>
      </c>
      <c r="B494" s="12">
        <v>3478937.4028894203</v>
      </c>
      <c r="G494" s="54">
        <v>493</v>
      </c>
      <c r="H494" s="94">
        <v>5727452.47628651</v>
      </c>
    </row>
    <row r="495" spans="1:8" x14ac:dyDescent="0.3">
      <c r="A495" s="54">
        <v>494</v>
      </c>
      <c r="B495" s="12">
        <v>3325584.9935600082</v>
      </c>
      <c r="G495" s="54">
        <v>494</v>
      </c>
      <c r="H495" s="94">
        <v>5802718.0635795202</v>
      </c>
    </row>
    <row r="496" spans="1:8" x14ac:dyDescent="0.3">
      <c r="A496" s="54">
        <v>495</v>
      </c>
      <c r="B496" s="12">
        <v>3420356.8689864003</v>
      </c>
      <c r="G496" s="54">
        <v>495</v>
      </c>
      <c r="H496" s="94">
        <v>5908217.3599422891</v>
      </c>
    </row>
    <row r="497" spans="1:8" x14ac:dyDescent="0.3">
      <c r="A497" s="54">
        <v>496</v>
      </c>
      <c r="B497" s="12">
        <v>3450839.0055492837</v>
      </c>
      <c r="G497" s="54">
        <v>496</v>
      </c>
      <c r="H497" s="94">
        <v>5931938.9144044966</v>
      </c>
    </row>
    <row r="498" spans="1:8" x14ac:dyDescent="0.3">
      <c r="A498" s="54">
        <v>497</v>
      </c>
      <c r="B498" s="12">
        <v>3329662.2492931467</v>
      </c>
      <c r="G498" s="54">
        <v>497</v>
      </c>
      <c r="H498" s="94">
        <v>5858607.0865056999</v>
      </c>
    </row>
    <row r="499" spans="1:8" x14ac:dyDescent="0.3">
      <c r="A499" s="54">
        <v>498</v>
      </c>
      <c r="B499" s="12">
        <v>3665080.2196273352</v>
      </c>
      <c r="G499" s="54">
        <v>498</v>
      </c>
      <c r="H499" s="94">
        <v>5967151.8648137068</v>
      </c>
    </row>
    <row r="500" spans="1:8" x14ac:dyDescent="0.3">
      <c r="A500" s="54">
        <v>499</v>
      </c>
      <c r="B500" s="12">
        <v>3541731.4260073993</v>
      </c>
      <c r="G500" s="54">
        <v>499</v>
      </c>
      <c r="H500" s="94">
        <v>5935508.5124839796</v>
      </c>
    </row>
    <row r="501" spans="1:8" x14ac:dyDescent="0.3">
      <c r="A501" s="54">
        <v>500</v>
      </c>
      <c r="B501" s="12">
        <v>3437069.0570850638</v>
      </c>
      <c r="G501" s="54">
        <v>500</v>
      </c>
      <c r="H501" s="94">
        <v>5943171.8680582633</v>
      </c>
    </row>
    <row r="502" spans="1:8" x14ac:dyDescent="0.3">
      <c r="A502" s="54">
        <v>501</v>
      </c>
      <c r="B502" s="12">
        <v>3439144.9805055922</v>
      </c>
      <c r="G502" s="54">
        <v>501</v>
      </c>
      <c r="H502" s="94">
        <v>5702360.1607624022</v>
      </c>
    </row>
    <row r="503" spans="1:8" x14ac:dyDescent="0.3">
      <c r="A503" s="54">
        <v>502</v>
      </c>
      <c r="B503" s="12">
        <v>3278327.5666078697</v>
      </c>
      <c r="G503" s="54">
        <v>502</v>
      </c>
      <c r="H503" s="94">
        <v>5848817.9911314351</v>
      </c>
    </row>
    <row r="504" spans="1:8" x14ac:dyDescent="0.3">
      <c r="A504" s="54">
        <v>503</v>
      </c>
      <c r="B504" s="12">
        <v>3424451.6946972753</v>
      </c>
      <c r="G504" s="54">
        <v>503</v>
      </c>
      <c r="H504" s="94">
        <v>5746364.6832109466</v>
      </c>
    </row>
    <row r="505" spans="1:8" x14ac:dyDescent="0.3">
      <c r="A505" s="54">
        <v>504</v>
      </c>
      <c r="B505" s="12">
        <v>3405577.9759708196</v>
      </c>
      <c r="G505" s="54">
        <v>504</v>
      </c>
      <c r="H505" s="94">
        <v>5857728.1688244212</v>
      </c>
    </row>
    <row r="506" spans="1:8" x14ac:dyDescent="0.3">
      <c r="A506" s="54">
        <v>505</v>
      </c>
      <c r="B506" s="12">
        <v>3632074.0172725944</v>
      </c>
      <c r="G506" s="54">
        <v>505</v>
      </c>
      <c r="H506" s="94">
        <v>5967901.4241355713</v>
      </c>
    </row>
    <row r="507" spans="1:8" x14ac:dyDescent="0.3">
      <c r="A507" s="54">
        <v>506</v>
      </c>
      <c r="B507" s="12">
        <v>3408325.7440881911</v>
      </c>
      <c r="G507" s="54">
        <v>506</v>
      </c>
      <c r="H507" s="94">
        <v>5824181.1570756445</v>
      </c>
    </row>
    <row r="508" spans="1:8" x14ac:dyDescent="0.3">
      <c r="A508" s="54">
        <v>507</v>
      </c>
      <c r="B508" s="12">
        <v>3498254.6994297891</v>
      </c>
      <c r="G508" s="54">
        <v>507</v>
      </c>
      <c r="H508" s="94">
        <v>5905901.2603558339</v>
      </c>
    </row>
    <row r="509" spans="1:8" x14ac:dyDescent="0.3">
      <c r="A509" s="54">
        <v>508</v>
      </c>
      <c r="B509" s="12">
        <v>3513059.4516981412</v>
      </c>
      <c r="G509" s="54">
        <v>508</v>
      </c>
      <c r="H509" s="94">
        <v>5819977.7606019424</v>
      </c>
    </row>
    <row r="510" spans="1:8" x14ac:dyDescent="0.3">
      <c r="A510" s="54">
        <v>509</v>
      </c>
      <c r="B510" s="12">
        <v>3138733.2249040813</v>
      </c>
      <c r="G510" s="54">
        <v>509</v>
      </c>
      <c r="H510" s="94">
        <v>5808998.3688123487</v>
      </c>
    </row>
    <row r="511" spans="1:8" x14ac:dyDescent="0.3">
      <c r="A511" s="54">
        <v>510</v>
      </c>
      <c r="B511" s="12">
        <v>3357759.8956179139</v>
      </c>
      <c r="G511" s="54">
        <v>510</v>
      </c>
      <c r="H511" s="94">
        <v>5976150.4360013762</v>
      </c>
    </row>
    <row r="512" spans="1:8" x14ac:dyDescent="0.3">
      <c r="A512" s="54">
        <v>511</v>
      </c>
      <c r="B512" s="12">
        <v>3461002.2938156198</v>
      </c>
      <c r="G512" s="54">
        <v>511</v>
      </c>
      <c r="H512" s="94">
        <v>5866904.5923557142</v>
      </c>
    </row>
    <row r="513" spans="1:8" x14ac:dyDescent="0.3">
      <c r="A513" s="54">
        <v>512</v>
      </c>
      <c r="B513" s="12">
        <v>3235095.4507876891</v>
      </c>
      <c r="G513" s="54">
        <v>512</v>
      </c>
      <c r="H513" s="94">
        <v>5956460.0950448141</v>
      </c>
    </row>
    <row r="514" spans="1:8" x14ac:dyDescent="0.3">
      <c r="A514" s="54">
        <v>513</v>
      </c>
      <c r="B514" s="12">
        <v>3353260.9710825076</v>
      </c>
      <c r="G514" s="54">
        <v>513</v>
      </c>
      <c r="H514" s="94">
        <v>5804667.653330991</v>
      </c>
    </row>
    <row r="515" spans="1:8" x14ac:dyDescent="0.3">
      <c r="A515" s="54">
        <v>514</v>
      </c>
      <c r="B515" s="12">
        <v>3496360.1852926495</v>
      </c>
      <c r="G515" s="54">
        <v>514</v>
      </c>
      <c r="H515" s="94">
        <v>5775470.3033725722</v>
      </c>
    </row>
    <row r="516" spans="1:8" x14ac:dyDescent="0.3">
      <c r="A516" s="54">
        <v>515</v>
      </c>
      <c r="B516" s="12">
        <v>3297523.796569197</v>
      </c>
      <c r="G516" s="54">
        <v>515</v>
      </c>
      <c r="H516" s="94">
        <v>5758270.0781613132</v>
      </c>
    </row>
    <row r="517" spans="1:8" x14ac:dyDescent="0.3">
      <c r="A517" s="54">
        <v>516</v>
      </c>
      <c r="B517" s="12">
        <v>3419618.2189776944</v>
      </c>
      <c r="G517" s="54">
        <v>516</v>
      </c>
      <c r="H517" s="94">
        <v>5908372.5077136625</v>
      </c>
    </row>
    <row r="518" spans="1:8" x14ac:dyDescent="0.3">
      <c r="A518" s="54">
        <v>517</v>
      </c>
      <c r="B518" s="12">
        <v>3527028.5818539313</v>
      </c>
      <c r="G518" s="54">
        <v>517</v>
      </c>
      <c r="H518" s="94">
        <v>5913703.771232143</v>
      </c>
    </row>
    <row r="519" spans="1:8" x14ac:dyDescent="0.3">
      <c r="A519" s="54">
        <v>518</v>
      </c>
      <c r="B519" s="12">
        <v>3393478.6886397433</v>
      </c>
      <c r="G519" s="54">
        <v>518</v>
      </c>
      <c r="H519" s="94">
        <v>5828572.1557639977</v>
      </c>
    </row>
    <row r="520" spans="1:8" x14ac:dyDescent="0.3">
      <c r="A520" s="54">
        <v>519</v>
      </c>
      <c r="B520" s="12">
        <v>3500667.1670190981</v>
      </c>
      <c r="G520" s="54">
        <v>519</v>
      </c>
      <c r="H520" s="94">
        <v>5833357.8229088448</v>
      </c>
    </row>
    <row r="521" spans="1:8" x14ac:dyDescent="0.3">
      <c r="A521" s="54">
        <v>520</v>
      </c>
      <c r="B521" s="12">
        <v>3187976.4365725168</v>
      </c>
      <c r="G521" s="54">
        <v>520</v>
      </c>
      <c r="H521" s="94">
        <v>5808191.5922064502</v>
      </c>
    </row>
    <row r="522" spans="1:8" x14ac:dyDescent="0.3">
      <c r="A522" s="54">
        <v>521</v>
      </c>
      <c r="B522" s="12">
        <v>3287895.4262240408</v>
      </c>
      <c r="G522" s="54">
        <v>521</v>
      </c>
      <c r="H522" s="94">
        <v>5880845.8911453579</v>
      </c>
    </row>
    <row r="523" spans="1:8" x14ac:dyDescent="0.3">
      <c r="A523" s="54">
        <v>522</v>
      </c>
      <c r="B523" s="12">
        <v>3557401.324268843</v>
      </c>
      <c r="G523" s="54">
        <v>522</v>
      </c>
      <c r="H523" s="94">
        <v>6009142.8682923829</v>
      </c>
    </row>
    <row r="524" spans="1:8" x14ac:dyDescent="0.3">
      <c r="A524" s="54">
        <v>523</v>
      </c>
      <c r="B524" s="12">
        <v>3435593.0677508581</v>
      </c>
      <c r="G524" s="54">
        <v>523</v>
      </c>
      <c r="H524" s="94">
        <v>5807995.4189563794</v>
      </c>
    </row>
    <row r="525" spans="1:8" x14ac:dyDescent="0.3">
      <c r="A525" s="54">
        <v>524</v>
      </c>
      <c r="B525" s="12">
        <v>3212059.5311182709</v>
      </c>
      <c r="G525" s="54">
        <v>524</v>
      </c>
      <c r="H525" s="94">
        <v>5821209.4748056242</v>
      </c>
    </row>
    <row r="526" spans="1:8" x14ac:dyDescent="0.3">
      <c r="A526" s="54">
        <v>525</v>
      </c>
      <c r="B526" s="12">
        <v>3124116.3238395588</v>
      </c>
      <c r="G526" s="54">
        <v>525</v>
      </c>
      <c r="H526" s="94">
        <v>5787021.3700298136</v>
      </c>
    </row>
    <row r="527" spans="1:8" x14ac:dyDescent="0.3">
      <c r="A527" s="54">
        <v>526</v>
      </c>
      <c r="B527" s="12">
        <v>3329736.9822857808</v>
      </c>
      <c r="G527" s="54">
        <v>526</v>
      </c>
      <c r="H527" s="94">
        <v>5780125.0652158186</v>
      </c>
    </row>
    <row r="528" spans="1:8" x14ac:dyDescent="0.3">
      <c r="A528" s="54">
        <v>527</v>
      </c>
      <c r="B528" s="12">
        <v>3661324.8368548132</v>
      </c>
      <c r="G528" s="54">
        <v>527</v>
      </c>
      <c r="H528" s="94">
        <v>5888241.3938843589</v>
      </c>
    </row>
    <row r="529" spans="1:8" x14ac:dyDescent="0.3">
      <c r="A529" s="54">
        <v>528</v>
      </c>
      <c r="B529" s="12">
        <v>3636560.8252847889</v>
      </c>
      <c r="G529" s="54">
        <v>528</v>
      </c>
      <c r="H529" s="94">
        <v>5777299.6313677104</v>
      </c>
    </row>
    <row r="530" spans="1:8" x14ac:dyDescent="0.3">
      <c r="A530" s="54">
        <v>529</v>
      </c>
      <c r="B530" s="12">
        <v>3598062.9412633856</v>
      </c>
      <c r="G530" s="54">
        <v>529</v>
      </c>
      <c r="H530" s="94">
        <v>5817323.9216101496</v>
      </c>
    </row>
    <row r="531" spans="1:8" x14ac:dyDescent="0.3">
      <c r="A531" s="54">
        <v>530</v>
      </c>
      <c r="B531" s="12">
        <v>3348723.6471658987</v>
      </c>
      <c r="G531" s="54">
        <v>530</v>
      </c>
      <c r="H531" s="94">
        <v>5832864.1623923266</v>
      </c>
    </row>
    <row r="532" spans="1:8" x14ac:dyDescent="0.3">
      <c r="A532" s="54">
        <v>531</v>
      </c>
      <c r="B532" s="12">
        <v>3500120.4426371953</v>
      </c>
      <c r="G532" s="54">
        <v>531</v>
      </c>
      <c r="H532" s="94">
        <v>5830518.5214851536</v>
      </c>
    </row>
    <row r="533" spans="1:8" x14ac:dyDescent="0.3">
      <c r="A533" s="54">
        <v>532</v>
      </c>
      <c r="B533" s="12">
        <v>3223168.2682947526</v>
      </c>
      <c r="G533" s="54">
        <v>532</v>
      </c>
      <c r="H533" s="94">
        <v>5682704.8378191227</v>
      </c>
    </row>
    <row r="534" spans="1:8" x14ac:dyDescent="0.3">
      <c r="A534" s="54">
        <v>533</v>
      </c>
      <c r="B534" s="12">
        <v>3609628.1682816357</v>
      </c>
      <c r="G534" s="54">
        <v>533</v>
      </c>
      <c r="H534" s="94">
        <v>5881677.244077893</v>
      </c>
    </row>
    <row r="535" spans="1:8" x14ac:dyDescent="0.3">
      <c r="A535" s="54">
        <v>534</v>
      </c>
      <c r="B535" s="12">
        <v>3552605.8919584602</v>
      </c>
      <c r="G535" s="54">
        <v>534</v>
      </c>
      <c r="H535" s="94">
        <v>5988517.400513716</v>
      </c>
    </row>
    <row r="536" spans="1:8" x14ac:dyDescent="0.3">
      <c r="A536" s="54">
        <v>535</v>
      </c>
      <c r="B536" s="12">
        <v>3628971.064493387</v>
      </c>
      <c r="G536" s="54">
        <v>535</v>
      </c>
      <c r="H536" s="94">
        <v>5952227.031363165</v>
      </c>
    </row>
    <row r="537" spans="1:8" x14ac:dyDescent="0.3">
      <c r="A537" s="54">
        <v>536</v>
      </c>
      <c r="B537" s="12">
        <v>3149997.4346856335</v>
      </c>
      <c r="G537" s="54">
        <v>536</v>
      </c>
      <c r="H537" s="94">
        <v>5962466.0437943013</v>
      </c>
    </row>
    <row r="538" spans="1:8" x14ac:dyDescent="0.3">
      <c r="A538" s="54">
        <v>537</v>
      </c>
      <c r="B538" s="12">
        <v>3343545.3235725225</v>
      </c>
      <c r="G538" s="54">
        <v>537</v>
      </c>
      <c r="H538" s="94">
        <v>5885882.0182707505</v>
      </c>
    </row>
    <row r="539" spans="1:8" x14ac:dyDescent="0.3">
      <c r="A539" s="54">
        <v>538</v>
      </c>
      <c r="B539" s="12">
        <v>3450975.3417997235</v>
      </c>
      <c r="G539" s="54">
        <v>538</v>
      </c>
      <c r="H539" s="94">
        <v>5898012.5594362719</v>
      </c>
    </row>
    <row r="540" spans="1:8" x14ac:dyDescent="0.3">
      <c r="A540" s="54">
        <v>539</v>
      </c>
      <c r="B540" s="12">
        <v>3256261.1290504155</v>
      </c>
      <c r="G540" s="54">
        <v>539</v>
      </c>
      <c r="H540" s="94">
        <v>5905241.5509515004</v>
      </c>
    </row>
    <row r="541" spans="1:8" x14ac:dyDescent="0.3">
      <c r="A541" s="54">
        <v>540</v>
      </c>
      <c r="B541" s="12">
        <v>3314207.0449128118</v>
      </c>
      <c r="G541" s="54">
        <v>540</v>
      </c>
      <c r="H541" s="94">
        <v>5829627.8169715637</v>
      </c>
    </row>
    <row r="542" spans="1:8" x14ac:dyDescent="0.3">
      <c r="A542" s="54">
        <v>541</v>
      </c>
      <c r="B542" s="12">
        <v>3309234.1471962146</v>
      </c>
      <c r="G542" s="54">
        <v>541</v>
      </c>
      <c r="H542" s="94">
        <v>5823506.4952424625</v>
      </c>
    </row>
    <row r="543" spans="1:8" x14ac:dyDescent="0.3">
      <c r="A543" s="54">
        <v>542</v>
      </c>
      <c r="B543" s="12">
        <v>3053326.4321186957</v>
      </c>
      <c r="G543" s="54">
        <v>542</v>
      </c>
      <c r="H543" s="94">
        <v>5893983.8713360038</v>
      </c>
    </row>
    <row r="544" spans="1:8" x14ac:dyDescent="0.3">
      <c r="A544" s="54">
        <v>543</v>
      </c>
      <c r="B544" s="12">
        <v>3420287.5448486912</v>
      </c>
      <c r="G544" s="54">
        <v>543</v>
      </c>
      <c r="H544" s="94">
        <v>5856542.6037551556</v>
      </c>
    </row>
    <row r="545" spans="1:8" x14ac:dyDescent="0.3">
      <c r="A545" s="54">
        <v>544</v>
      </c>
      <c r="B545" s="12">
        <v>3475177.6366576231</v>
      </c>
      <c r="G545" s="54">
        <v>544</v>
      </c>
      <c r="H545" s="94">
        <v>5839557.5455622552</v>
      </c>
    </row>
    <row r="546" spans="1:8" x14ac:dyDescent="0.3">
      <c r="A546" s="54">
        <v>545</v>
      </c>
      <c r="B546" s="12">
        <v>3623771.4551146827</v>
      </c>
      <c r="G546" s="54">
        <v>545</v>
      </c>
      <c r="H546" s="94">
        <v>5941220.5927855521</v>
      </c>
    </row>
    <row r="547" spans="1:8" x14ac:dyDescent="0.3">
      <c r="A547" s="54">
        <v>546</v>
      </c>
      <c r="B547" s="12">
        <v>3586866.8345439238</v>
      </c>
      <c r="G547" s="54">
        <v>546</v>
      </c>
      <c r="H547" s="94">
        <v>5847270.2834492773</v>
      </c>
    </row>
    <row r="548" spans="1:8" x14ac:dyDescent="0.3">
      <c r="A548" s="54">
        <v>547</v>
      </c>
      <c r="B548" s="12">
        <v>3497462.2021822906</v>
      </c>
      <c r="G548" s="54">
        <v>547</v>
      </c>
      <c r="H548" s="94">
        <v>5876051.6034484291</v>
      </c>
    </row>
    <row r="549" spans="1:8" x14ac:dyDescent="0.3">
      <c r="A549" s="54">
        <v>548</v>
      </c>
      <c r="B549" s="12">
        <v>3548001.8235607389</v>
      </c>
      <c r="G549" s="54">
        <v>548</v>
      </c>
      <c r="H549" s="94">
        <v>5791011.5696736574</v>
      </c>
    </row>
    <row r="550" spans="1:8" x14ac:dyDescent="0.3">
      <c r="A550" s="54">
        <v>549</v>
      </c>
      <c r="B550" s="12">
        <v>3402952.8095762664</v>
      </c>
      <c r="G550" s="54">
        <v>549</v>
      </c>
      <c r="H550" s="94">
        <v>5814527.2418056922</v>
      </c>
    </row>
    <row r="551" spans="1:8" x14ac:dyDescent="0.3">
      <c r="A551" s="54">
        <v>550</v>
      </c>
      <c r="B551" s="12">
        <v>3426577.3872813205</v>
      </c>
      <c r="G551" s="54">
        <v>550</v>
      </c>
      <c r="H551" s="94">
        <v>5879388.8510616282</v>
      </c>
    </row>
    <row r="552" spans="1:8" x14ac:dyDescent="0.3">
      <c r="A552" s="54">
        <v>551</v>
      </c>
      <c r="B552" s="12">
        <v>3211088.6125536542</v>
      </c>
      <c r="G552" s="54">
        <v>551</v>
      </c>
      <c r="H552" s="94">
        <v>5928940.7090214696</v>
      </c>
    </row>
    <row r="553" spans="1:8" x14ac:dyDescent="0.3">
      <c r="A553" s="54">
        <v>552</v>
      </c>
      <c r="B553" s="12">
        <v>3656669.0401342283</v>
      </c>
      <c r="G553" s="54">
        <v>552</v>
      </c>
      <c r="H553" s="94">
        <v>5837897.6941484995</v>
      </c>
    </row>
    <row r="554" spans="1:8" x14ac:dyDescent="0.3">
      <c r="A554" s="54">
        <v>553</v>
      </c>
      <c r="B554" s="12">
        <v>3845020.1502229669</v>
      </c>
      <c r="G554" s="54">
        <v>553</v>
      </c>
      <c r="H554" s="94">
        <v>5839067.0803461587</v>
      </c>
    </row>
    <row r="555" spans="1:8" x14ac:dyDescent="0.3">
      <c r="A555" s="54">
        <v>554</v>
      </c>
      <c r="B555" s="12">
        <v>3610616.0204298734</v>
      </c>
      <c r="G555" s="54">
        <v>554</v>
      </c>
      <c r="H555" s="94">
        <v>5913702.7039269442</v>
      </c>
    </row>
    <row r="556" spans="1:8" x14ac:dyDescent="0.3">
      <c r="A556" s="54">
        <v>555</v>
      </c>
      <c r="B556" s="12">
        <v>3204259.7152901213</v>
      </c>
      <c r="G556" s="54">
        <v>555</v>
      </c>
      <c r="H556" s="94">
        <v>5943227.9073378909</v>
      </c>
    </row>
    <row r="557" spans="1:8" x14ac:dyDescent="0.3">
      <c r="A557" s="54">
        <v>556</v>
      </c>
      <c r="B557" s="12">
        <v>3376496.9682832328</v>
      </c>
      <c r="G557" s="54">
        <v>556</v>
      </c>
      <c r="H557" s="94">
        <v>5842787.5394549835</v>
      </c>
    </row>
    <row r="558" spans="1:8" x14ac:dyDescent="0.3">
      <c r="A558" s="54">
        <v>557</v>
      </c>
      <c r="B558" s="12">
        <v>3451627.9702132326</v>
      </c>
      <c r="G558" s="54">
        <v>557</v>
      </c>
      <c r="H558" s="94">
        <v>5844593.4778374769</v>
      </c>
    </row>
    <row r="559" spans="1:8" x14ac:dyDescent="0.3">
      <c r="A559" s="54">
        <v>558</v>
      </c>
      <c r="B559" s="12">
        <v>3237660.9409373845</v>
      </c>
      <c r="G559" s="54">
        <v>558</v>
      </c>
      <c r="H559" s="94">
        <v>5788039.6893510763</v>
      </c>
    </row>
    <row r="560" spans="1:8" x14ac:dyDescent="0.3">
      <c r="A560" s="54">
        <v>559</v>
      </c>
      <c r="B560" s="12">
        <v>3698007.7307918691</v>
      </c>
      <c r="G560" s="54">
        <v>559</v>
      </c>
      <c r="H560" s="94">
        <v>5818434.329754916</v>
      </c>
    </row>
    <row r="561" spans="1:8" x14ac:dyDescent="0.3">
      <c r="A561" s="54">
        <v>560</v>
      </c>
      <c r="B561" s="12">
        <v>3406643.3893603734</v>
      </c>
      <c r="G561" s="54">
        <v>560</v>
      </c>
      <c r="H561" s="94">
        <v>5920773.8728423677</v>
      </c>
    </row>
    <row r="562" spans="1:8" x14ac:dyDescent="0.3">
      <c r="A562" s="54">
        <v>561</v>
      </c>
      <c r="B562" s="12">
        <v>3505931.724365246</v>
      </c>
      <c r="G562" s="54">
        <v>561</v>
      </c>
      <c r="H562" s="94">
        <v>5928289.3679677956</v>
      </c>
    </row>
    <row r="563" spans="1:8" x14ac:dyDescent="0.3">
      <c r="A563" s="54">
        <v>562</v>
      </c>
      <c r="B563" s="12">
        <v>3558648.7790598976</v>
      </c>
      <c r="G563" s="54">
        <v>562</v>
      </c>
      <c r="H563" s="94">
        <v>5880682.3091617776</v>
      </c>
    </row>
    <row r="564" spans="1:8" x14ac:dyDescent="0.3">
      <c r="A564" s="54">
        <v>563</v>
      </c>
      <c r="B564" s="12">
        <v>3140210.7176404023</v>
      </c>
      <c r="G564" s="54">
        <v>563</v>
      </c>
      <c r="H564" s="94">
        <v>5879449.8361276435</v>
      </c>
    </row>
    <row r="565" spans="1:8" x14ac:dyDescent="0.3">
      <c r="A565" s="54">
        <v>564</v>
      </c>
      <c r="B565" s="12">
        <v>3363669.17105234</v>
      </c>
      <c r="G565" s="54">
        <v>564</v>
      </c>
      <c r="H565" s="94">
        <v>5951516.2348870924</v>
      </c>
    </row>
    <row r="566" spans="1:8" x14ac:dyDescent="0.3">
      <c r="A566" s="54">
        <v>565</v>
      </c>
      <c r="B566" s="12">
        <v>3299144.3692326951</v>
      </c>
      <c r="G566" s="54">
        <v>565</v>
      </c>
      <c r="H566" s="94">
        <v>5835802.7711680271</v>
      </c>
    </row>
    <row r="567" spans="1:8" x14ac:dyDescent="0.3">
      <c r="A567" s="54">
        <v>566</v>
      </c>
      <c r="B567" s="12">
        <v>3194368.5871184771</v>
      </c>
      <c r="G567" s="54">
        <v>566</v>
      </c>
      <c r="H567" s="94">
        <v>5923558.2607678277</v>
      </c>
    </row>
    <row r="568" spans="1:8" x14ac:dyDescent="0.3">
      <c r="A568" s="54">
        <v>567</v>
      </c>
      <c r="B568" s="12">
        <v>3598986.6492025265</v>
      </c>
      <c r="G568" s="54">
        <v>567</v>
      </c>
      <c r="H568" s="94">
        <v>5824245.2788100988</v>
      </c>
    </row>
    <row r="569" spans="1:8" x14ac:dyDescent="0.3">
      <c r="A569" s="54">
        <v>568</v>
      </c>
      <c r="B569" s="12">
        <v>3591802.7724530841</v>
      </c>
      <c r="G569" s="54">
        <v>568</v>
      </c>
      <c r="H569" s="94">
        <v>5877309.5180020705</v>
      </c>
    </row>
    <row r="570" spans="1:8" x14ac:dyDescent="0.3">
      <c r="A570" s="54">
        <v>569</v>
      </c>
      <c r="B570" s="12">
        <v>3358454.6821495378</v>
      </c>
      <c r="G570" s="54">
        <v>569</v>
      </c>
      <c r="H570" s="94">
        <v>5974660.7216287423</v>
      </c>
    </row>
    <row r="571" spans="1:8" x14ac:dyDescent="0.3">
      <c r="A571" s="54">
        <v>570</v>
      </c>
      <c r="B571" s="12">
        <v>3539487.9845222905</v>
      </c>
      <c r="G571" s="54">
        <v>570</v>
      </c>
      <c r="H571" s="94">
        <v>5884718.8921613414</v>
      </c>
    </row>
    <row r="572" spans="1:8" x14ac:dyDescent="0.3">
      <c r="A572" s="54">
        <v>571</v>
      </c>
      <c r="B572" s="12">
        <v>3473163.3144143214</v>
      </c>
      <c r="G572" s="54">
        <v>571</v>
      </c>
      <c r="H572" s="94">
        <v>5839811.6314704493</v>
      </c>
    </row>
    <row r="573" spans="1:8" x14ac:dyDescent="0.3">
      <c r="A573" s="54">
        <v>572</v>
      </c>
      <c r="B573" s="12">
        <v>3474351.997869154</v>
      </c>
      <c r="G573" s="54">
        <v>572</v>
      </c>
      <c r="H573" s="94">
        <v>5793851.4023912009</v>
      </c>
    </row>
    <row r="574" spans="1:8" x14ac:dyDescent="0.3">
      <c r="A574" s="54">
        <v>573</v>
      </c>
      <c r="B574" s="12">
        <v>3373725.5571297468</v>
      </c>
      <c r="G574" s="54">
        <v>573</v>
      </c>
      <c r="H574" s="94">
        <v>5873332.6812753063</v>
      </c>
    </row>
    <row r="575" spans="1:8" x14ac:dyDescent="0.3">
      <c r="A575" s="54">
        <v>574</v>
      </c>
      <c r="B575" s="12">
        <v>3188274.8171076123</v>
      </c>
      <c r="G575" s="54">
        <v>574</v>
      </c>
      <c r="H575" s="94">
        <v>5789153.2853100812</v>
      </c>
    </row>
    <row r="576" spans="1:8" x14ac:dyDescent="0.3">
      <c r="A576" s="54">
        <v>575</v>
      </c>
      <c r="B576" s="12">
        <v>3178806.746230457</v>
      </c>
      <c r="G576" s="54">
        <v>575</v>
      </c>
      <c r="H576" s="94">
        <v>5900305.7875672635</v>
      </c>
    </row>
    <row r="577" spans="1:8" x14ac:dyDescent="0.3">
      <c r="A577" s="54">
        <v>576</v>
      </c>
      <c r="B577" s="12">
        <v>3213099.8943924219</v>
      </c>
      <c r="G577" s="54">
        <v>576</v>
      </c>
      <c r="H577" s="94">
        <v>5960682.3546273559</v>
      </c>
    </row>
    <row r="578" spans="1:8" x14ac:dyDescent="0.3">
      <c r="A578" s="54">
        <v>577</v>
      </c>
      <c r="B578" s="12">
        <v>3263509.0894411816</v>
      </c>
      <c r="G578" s="54">
        <v>577</v>
      </c>
      <c r="H578" s="94">
        <v>5892419.423699148</v>
      </c>
    </row>
    <row r="579" spans="1:8" x14ac:dyDescent="0.3">
      <c r="A579" s="54">
        <v>578</v>
      </c>
      <c r="B579" s="12">
        <v>3299362.4124259087</v>
      </c>
      <c r="G579" s="54">
        <v>578</v>
      </c>
      <c r="H579" s="94">
        <v>5766338.5669399761</v>
      </c>
    </row>
    <row r="580" spans="1:8" x14ac:dyDescent="0.3">
      <c r="A580" s="54">
        <v>579</v>
      </c>
      <c r="B580" s="12">
        <v>3411123.2429195228</v>
      </c>
      <c r="G580" s="54">
        <v>579</v>
      </c>
      <c r="H580" s="94">
        <v>5808262.3496712595</v>
      </c>
    </row>
    <row r="581" spans="1:8" x14ac:dyDescent="0.3">
      <c r="A581" s="54">
        <v>580</v>
      </c>
      <c r="B581" s="12">
        <v>3283701.6956081525</v>
      </c>
      <c r="G581" s="54">
        <v>580</v>
      </c>
      <c r="H581" s="94">
        <v>5860221.5900161741</v>
      </c>
    </row>
    <row r="582" spans="1:8" x14ac:dyDescent="0.3">
      <c r="A582" s="54">
        <v>581</v>
      </c>
      <c r="B582" s="12">
        <v>3594996.91570515</v>
      </c>
      <c r="G582" s="54">
        <v>581</v>
      </c>
      <c r="H582" s="94">
        <v>5794970.6960485978</v>
      </c>
    </row>
    <row r="583" spans="1:8" x14ac:dyDescent="0.3">
      <c r="A583" s="54">
        <v>582</v>
      </c>
      <c r="B583" s="12">
        <v>3706954.7054884159</v>
      </c>
      <c r="G583" s="54">
        <v>582</v>
      </c>
      <c r="H583" s="94">
        <v>5877129.9176446563</v>
      </c>
    </row>
    <row r="584" spans="1:8" x14ac:dyDescent="0.3">
      <c r="A584" s="54">
        <v>583</v>
      </c>
      <c r="B584" s="12">
        <v>3568295.2817093921</v>
      </c>
      <c r="G584" s="54">
        <v>583</v>
      </c>
      <c r="H584" s="94">
        <v>5821581.5090264268</v>
      </c>
    </row>
    <row r="585" spans="1:8" x14ac:dyDescent="0.3">
      <c r="A585" s="54">
        <v>584</v>
      </c>
      <c r="B585" s="12">
        <v>3547361.9800473535</v>
      </c>
      <c r="G585" s="54">
        <v>584</v>
      </c>
      <c r="H585" s="94">
        <v>5874090.4842949081</v>
      </c>
    </row>
    <row r="586" spans="1:8" x14ac:dyDescent="0.3">
      <c r="A586" s="54">
        <v>585</v>
      </c>
      <c r="B586" s="12">
        <v>3481851.656843374</v>
      </c>
      <c r="G586" s="54">
        <v>585</v>
      </c>
      <c r="H586" s="94">
        <v>5796085.6173464973</v>
      </c>
    </row>
    <row r="587" spans="1:8" x14ac:dyDescent="0.3">
      <c r="A587" s="54">
        <v>586</v>
      </c>
      <c r="B587" s="12">
        <v>3483134.6977848159</v>
      </c>
      <c r="G587" s="54">
        <v>586</v>
      </c>
      <c r="H587" s="94">
        <v>5703530.8455186654</v>
      </c>
    </row>
    <row r="588" spans="1:8" x14ac:dyDescent="0.3">
      <c r="A588" s="54">
        <v>587</v>
      </c>
      <c r="B588" s="12">
        <v>3030671.2610207088</v>
      </c>
      <c r="G588" s="54">
        <v>587</v>
      </c>
      <c r="H588" s="94">
        <v>5842946.9686474483</v>
      </c>
    </row>
    <row r="589" spans="1:8" x14ac:dyDescent="0.3">
      <c r="A589" s="54">
        <v>588</v>
      </c>
      <c r="B589" s="12">
        <v>3355002.3480024925</v>
      </c>
      <c r="G589" s="54">
        <v>588</v>
      </c>
      <c r="H589" s="94">
        <v>5838976.6270204829</v>
      </c>
    </row>
    <row r="590" spans="1:8" x14ac:dyDescent="0.3">
      <c r="A590" s="54">
        <v>589</v>
      </c>
      <c r="B590" s="12">
        <v>3431749.920548398</v>
      </c>
      <c r="G590" s="54">
        <v>589</v>
      </c>
      <c r="H590" s="94">
        <v>5897395.8840206927</v>
      </c>
    </row>
    <row r="591" spans="1:8" x14ac:dyDescent="0.3">
      <c r="A591" s="54">
        <v>590</v>
      </c>
      <c r="B591" s="12">
        <v>3453977.2300397479</v>
      </c>
      <c r="G591" s="54">
        <v>590</v>
      </c>
      <c r="H591" s="94">
        <v>5918517.4345770264</v>
      </c>
    </row>
    <row r="592" spans="1:8" x14ac:dyDescent="0.3">
      <c r="A592" s="54">
        <v>591</v>
      </c>
      <c r="B592" s="12">
        <v>3338256.8112241309</v>
      </c>
      <c r="G592" s="54">
        <v>591</v>
      </c>
      <c r="H592" s="94">
        <v>5917431.7927518301</v>
      </c>
    </row>
    <row r="593" spans="1:8" x14ac:dyDescent="0.3">
      <c r="A593" s="54">
        <v>592</v>
      </c>
      <c r="B593" s="12">
        <v>3528737.5834421748</v>
      </c>
      <c r="G593" s="54">
        <v>592</v>
      </c>
      <c r="H593" s="94">
        <v>5727344.1388684642</v>
      </c>
    </row>
    <row r="594" spans="1:8" x14ac:dyDescent="0.3">
      <c r="A594" s="54">
        <v>593</v>
      </c>
      <c r="B594" s="12">
        <v>3605311.5692894575</v>
      </c>
      <c r="G594" s="54">
        <v>593</v>
      </c>
      <c r="H594" s="94">
        <v>5903671.6611618483</v>
      </c>
    </row>
    <row r="595" spans="1:8" x14ac:dyDescent="0.3">
      <c r="A595" s="54">
        <v>594</v>
      </c>
      <c r="B595" s="12">
        <v>3171970.4900456714</v>
      </c>
      <c r="G595" s="54">
        <v>594</v>
      </c>
      <c r="H595" s="94">
        <v>5790879.4222787078</v>
      </c>
    </row>
    <row r="596" spans="1:8" x14ac:dyDescent="0.3">
      <c r="A596" s="54">
        <v>595</v>
      </c>
      <c r="B596" s="12">
        <v>3500256.3403392145</v>
      </c>
      <c r="G596" s="54">
        <v>595</v>
      </c>
      <c r="H596" s="94">
        <v>5882940.2548353923</v>
      </c>
    </row>
    <row r="597" spans="1:8" x14ac:dyDescent="0.3">
      <c r="A597" s="54">
        <v>596</v>
      </c>
      <c r="B597" s="12">
        <v>3377378.0296862843</v>
      </c>
      <c r="G597" s="54">
        <v>596</v>
      </c>
      <c r="H597" s="94">
        <v>5833929.2346120607</v>
      </c>
    </row>
    <row r="598" spans="1:8" x14ac:dyDescent="0.3">
      <c r="A598" s="54">
        <v>597</v>
      </c>
      <c r="B598" s="12">
        <v>3251313.0469946414</v>
      </c>
      <c r="G598" s="54">
        <v>597</v>
      </c>
      <c r="H598" s="94">
        <v>5895900.3889426524</v>
      </c>
    </row>
    <row r="599" spans="1:8" x14ac:dyDescent="0.3">
      <c r="A599" s="54">
        <v>598</v>
      </c>
      <c r="B599" s="12">
        <v>3479642.0664377664</v>
      </c>
      <c r="G599" s="54">
        <v>598</v>
      </c>
      <c r="H599" s="94">
        <v>5869857.2297406625</v>
      </c>
    </row>
    <row r="600" spans="1:8" x14ac:dyDescent="0.3">
      <c r="A600" s="54">
        <v>599</v>
      </c>
      <c r="B600" s="12">
        <v>3451057.3693821882</v>
      </c>
      <c r="G600" s="54">
        <v>599</v>
      </c>
      <c r="H600" s="94">
        <v>5815510.7597638201</v>
      </c>
    </row>
    <row r="601" spans="1:8" x14ac:dyDescent="0.3">
      <c r="A601" s="54">
        <v>600</v>
      </c>
      <c r="B601" s="12">
        <v>3522769.6063610166</v>
      </c>
      <c r="G601" s="54">
        <v>600</v>
      </c>
      <c r="H601" s="94">
        <v>5866013.9194011083</v>
      </c>
    </row>
    <row r="602" spans="1:8" x14ac:dyDescent="0.3">
      <c r="A602" s="54">
        <v>601</v>
      </c>
      <c r="B602" s="12">
        <v>3505860.3630603454</v>
      </c>
      <c r="G602" s="54">
        <v>601</v>
      </c>
      <c r="H602" s="94">
        <v>5799307.7314568311</v>
      </c>
    </row>
    <row r="603" spans="1:8" x14ac:dyDescent="0.3">
      <c r="A603" s="54">
        <v>602</v>
      </c>
      <c r="B603" s="12">
        <v>3532868.7626324445</v>
      </c>
      <c r="G603" s="54">
        <v>602</v>
      </c>
      <c r="H603" s="94">
        <v>6014783.7291461844</v>
      </c>
    </row>
    <row r="604" spans="1:8" x14ac:dyDescent="0.3">
      <c r="A604" s="54">
        <v>603</v>
      </c>
      <c r="B604" s="12">
        <v>3298391.6591005037</v>
      </c>
      <c r="G604" s="54">
        <v>603</v>
      </c>
      <c r="H604" s="94">
        <v>5824492.9618669488</v>
      </c>
    </row>
    <row r="605" spans="1:8" x14ac:dyDescent="0.3">
      <c r="A605" s="54">
        <v>604</v>
      </c>
      <c r="B605" s="12">
        <v>3482154.5230457783</v>
      </c>
      <c r="G605" s="54">
        <v>604</v>
      </c>
      <c r="H605" s="94">
        <v>5847705.7296113241</v>
      </c>
    </row>
    <row r="606" spans="1:8" x14ac:dyDescent="0.3">
      <c r="A606" s="54">
        <v>605</v>
      </c>
      <c r="B606" s="12">
        <v>3490143.8494786117</v>
      </c>
      <c r="G606" s="54">
        <v>605</v>
      </c>
      <c r="H606" s="94">
        <v>5857899.137271612</v>
      </c>
    </row>
    <row r="607" spans="1:8" x14ac:dyDescent="0.3">
      <c r="A607" s="54">
        <v>606</v>
      </c>
      <c r="B607" s="12">
        <v>3494504.7484739535</v>
      </c>
      <c r="G607" s="54">
        <v>606</v>
      </c>
      <c r="H607" s="94">
        <v>5869170.3086481411</v>
      </c>
    </row>
    <row r="608" spans="1:8" x14ac:dyDescent="0.3">
      <c r="A608" s="54">
        <v>607</v>
      </c>
      <c r="B608" s="12">
        <v>3630594.436267307</v>
      </c>
      <c r="G608" s="54">
        <v>607</v>
      </c>
      <c r="H608" s="94">
        <v>5928167.250477042</v>
      </c>
    </row>
    <row r="609" spans="1:8" x14ac:dyDescent="0.3">
      <c r="A609" s="54">
        <v>608</v>
      </c>
      <c r="B609" s="12">
        <v>3337822.5431076866</v>
      </c>
      <c r="G609" s="54">
        <v>608</v>
      </c>
      <c r="H609" s="94">
        <v>5929870.9860513359</v>
      </c>
    </row>
    <row r="610" spans="1:8" x14ac:dyDescent="0.3">
      <c r="A610" s="54">
        <v>609</v>
      </c>
      <c r="B610" s="12">
        <v>3371732.8114723852</v>
      </c>
      <c r="G610" s="54">
        <v>609</v>
      </c>
      <c r="H610" s="94">
        <v>5927060.7246717224</v>
      </c>
    </row>
    <row r="611" spans="1:8" x14ac:dyDescent="0.3">
      <c r="A611" s="54">
        <v>610</v>
      </c>
      <c r="B611" s="12">
        <v>3416202.3462270983</v>
      </c>
      <c r="G611" s="54">
        <v>610</v>
      </c>
      <c r="H611" s="94">
        <v>5965873.0001001796</v>
      </c>
    </row>
    <row r="612" spans="1:8" x14ac:dyDescent="0.3">
      <c r="A612" s="54">
        <v>611</v>
      </c>
      <c r="B612" s="12">
        <v>3341520.7862390419</v>
      </c>
      <c r="G612" s="54">
        <v>611</v>
      </c>
      <c r="H612" s="94">
        <v>5798929.2251104275</v>
      </c>
    </row>
    <row r="613" spans="1:8" x14ac:dyDescent="0.3">
      <c r="A613" s="54">
        <v>612</v>
      </c>
      <c r="B613" s="12">
        <v>3273446.3846299821</v>
      </c>
      <c r="G613" s="54">
        <v>612</v>
      </c>
      <c r="H613" s="94">
        <v>5900434.5007443475</v>
      </c>
    </row>
    <row r="614" spans="1:8" x14ac:dyDescent="0.3">
      <c r="A614" s="54">
        <v>613</v>
      </c>
      <c r="B614" s="12">
        <v>3252600.3220099234</v>
      </c>
      <c r="G614" s="54">
        <v>613</v>
      </c>
      <c r="H614" s="94">
        <v>5848516.5692610797</v>
      </c>
    </row>
    <row r="615" spans="1:8" x14ac:dyDescent="0.3">
      <c r="A615" s="54">
        <v>614</v>
      </c>
      <c r="B615" s="12">
        <v>3407737.067430649</v>
      </c>
      <c r="G615" s="54">
        <v>614</v>
      </c>
      <c r="H615" s="94">
        <v>5841377.4344913503</v>
      </c>
    </row>
    <row r="616" spans="1:8" x14ac:dyDescent="0.3">
      <c r="A616" s="54">
        <v>615</v>
      </c>
      <c r="B616" s="12">
        <v>3510360.0448837695</v>
      </c>
      <c r="G616" s="54">
        <v>615</v>
      </c>
      <c r="H616" s="94">
        <v>5868833.2891389132</v>
      </c>
    </row>
    <row r="617" spans="1:8" x14ac:dyDescent="0.3">
      <c r="A617" s="54">
        <v>616</v>
      </c>
      <c r="B617" s="12">
        <v>3419113.2071919362</v>
      </c>
      <c r="G617" s="54">
        <v>616</v>
      </c>
      <c r="H617" s="94">
        <v>5780897.0156836994</v>
      </c>
    </row>
    <row r="618" spans="1:8" x14ac:dyDescent="0.3">
      <c r="A618" s="54">
        <v>617</v>
      </c>
      <c r="B618" s="12">
        <v>3578592.0975469793</v>
      </c>
      <c r="G618" s="54">
        <v>617</v>
      </c>
      <c r="H618" s="94">
        <v>5849769.893259963</v>
      </c>
    </row>
    <row r="619" spans="1:8" x14ac:dyDescent="0.3">
      <c r="A619" s="54">
        <v>618</v>
      </c>
      <c r="B619" s="12">
        <v>3259022.3069929085</v>
      </c>
      <c r="G619" s="54">
        <v>618</v>
      </c>
      <c r="H619" s="94">
        <v>5857737.2104234667</v>
      </c>
    </row>
    <row r="620" spans="1:8" x14ac:dyDescent="0.3">
      <c r="A620" s="54">
        <v>619</v>
      </c>
      <c r="B620" s="12">
        <v>3149170.2481071493</v>
      </c>
      <c r="G620" s="54">
        <v>619</v>
      </c>
      <c r="H620" s="94">
        <v>5921381.4608334377</v>
      </c>
    </row>
    <row r="621" spans="1:8" x14ac:dyDescent="0.3">
      <c r="A621" s="54">
        <v>620</v>
      </c>
      <c r="B621" s="12">
        <v>3519884.6495057559</v>
      </c>
      <c r="G621" s="54">
        <v>620</v>
      </c>
      <c r="H621" s="94">
        <v>6095223.9402543409</v>
      </c>
    </row>
    <row r="622" spans="1:8" x14ac:dyDescent="0.3">
      <c r="A622" s="54">
        <v>621</v>
      </c>
      <c r="B622" s="12">
        <v>3382510.1006123745</v>
      </c>
      <c r="G622" s="54">
        <v>621</v>
      </c>
      <c r="H622" s="94">
        <v>5971040.1364410324</v>
      </c>
    </row>
    <row r="623" spans="1:8" x14ac:dyDescent="0.3">
      <c r="A623" s="54">
        <v>622</v>
      </c>
      <c r="B623" s="12">
        <v>3540350.8793084398</v>
      </c>
      <c r="G623" s="54">
        <v>622</v>
      </c>
      <c r="H623" s="94">
        <v>5710359.998365744</v>
      </c>
    </row>
    <row r="624" spans="1:8" x14ac:dyDescent="0.3">
      <c r="A624" s="54">
        <v>623</v>
      </c>
      <c r="B624" s="12">
        <v>3499011.0820871531</v>
      </c>
      <c r="G624" s="54">
        <v>623</v>
      </c>
      <c r="H624" s="94">
        <v>5788903.4501582794</v>
      </c>
    </row>
    <row r="625" spans="1:8" x14ac:dyDescent="0.3">
      <c r="A625" s="54">
        <v>624</v>
      </c>
      <c r="B625" s="12">
        <v>3362962.8876934857</v>
      </c>
      <c r="G625" s="54">
        <v>624</v>
      </c>
      <c r="H625" s="94">
        <v>5957310.1178604504</v>
      </c>
    </row>
    <row r="626" spans="1:8" x14ac:dyDescent="0.3">
      <c r="A626" s="54">
        <v>625</v>
      </c>
      <c r="B626" s="12">
        <v>3454730.0079062283</v>
      </c>
      <c r="G626" s="54">
        <v>625</v>
      </c>
      <c r="H626" s="94">
        <v>5842024.5038920538</v>
      </c>
    </row>
    <row r="627" spans="1:8" x14ac:dyDescent="0.3">
      <c r="A627" s="54">
        <v>626</v>
      </c>
      <c r="B627" s="12">
        <v>3439644.5308121569</v>
      </c>
      <c r="G627" s="54">
        <v>626</v>
      </c>
      <c r="H627" s="94">
        <v>5864348.042057598</v>
      </c>
    </row>
    <row r="628" spans="1:8" x14ac:dyDescent="0.3">
      <c r="A628" s="54">
        <v>627</v>
      </c>
      <c r="B628" s="12">
        <v>3507274.3933960618</v>
      </c>
      <c r="G628" s="54">
        <v>627</v>
      </c>
      <c r="H628" s="94">
        <v>6033077.8609635457</v>
      </c>
    </row>
    <row r="629" spans="1:8" x14ac:dyDescent="0.3">
      <c r="A629" s="54">
        <v>628</v>
      </c>
      <c r="B629" s="12">
        <v>3292951.9922458255</v>
      </c>
      <c r="G629" s="54">
        <v>628</v>
      </c>
      <c r="H629" s="94">
        <v>5770928.7016493063</v>
      </c>
    </row>
    <row r="630" spans="1:8" x14ac:dyDescent="0.3">
      <c r="A630" s="54">
        <v>629</v>
      </c>
      <c r="B630" s="12">
        <v>3608896.7279558051</v>
      </c>
      <c r="G630" s="54">
        <v>629</v>
      </c>
      <c r="H630" s="94">
        <v>5935004.0056500295</v>
      </c>
    </row>
    <row r="631" spans="1:8" x14ac:dyDescent="0.3">
      <c r="A631" s="54">
        <v>630</v>
      </c>
      <c r="B631" s="12">
        <v>3339319.5297909989</v>
      </c>
      <c r="G631" s="54">
        <v>630</v>
      </c>
      <c r="H631" s="94">
        <v>6033758.2728265822</v>
      </c>
    </row>
    <row r="632" spans="1:8" x14ac:dyDescent="0.3">
      <c r="A632" s="54">
        <v>631</v>
      </c>
      <c r="B632" s="12">
        <v>3605241.3947269963</v>
      </c>
      <c r="G632" s="54">
        <v>631</v>
      </c>
      <c r="H632" s="94">
        <v>5876823.1846686462</v>
      </c>
    </row>
    <row r="633" spans="1:8" x14ac:dyDescent="0.3">
      <c r="A633" s="54">
        <v>632</v>
      </c>
      <c r="B633" s="12">
        <v>3690264.7785949609</v>
      </c>
      <c r="G633" s="54">
        <v>632</v>
      </c>
      <c r="H633" s="94">
        <v>5787773.5739140995</v>
      </c>
    </row>
    <row r="634" spans="1:8" x14ac:dyDescent="0.3">
      <c r="A634" s="54">
        <v>633</v>
      </c>
      <c r="B634" s="12">
        <v>3424481.8651795164</v>
      </c>
      <c r="G634" s="54">
        <v>633</v>
      </c>
      <c r="H634" s="94">
        <v>5844378.2892815219</v>
      </c>
    </row>
    <row r="635" spans="1:8" x14ac:dyDescent="0.3">
      <c r="A635" s="54">
        <v>634</v>
      </c>
      <c r="B635" s="12">
        <v>3561284.0226998376</v>
      </c>
      <c r="G635" s="54">
        <v>634</v>
      </c>
      <c r="H635" s="94">
        <v>5982770.7813861193</v>
      </c>
    </row>
    <row r="636" spans="1:8" x14ac:dyDescent="0.3">
      <c r="A636" s="54">
        <v>635</v>
      </c>
      <c r="B636" s="12">
        <v>3545681.9658783991</v>
      </c>
      <c r="G636" s="54">
        <v>635</v>
      </c>
      <c r="H636" s="94">
        <v>5999172.1296872729</v>
      </c>
    </row>
    <row r="637" spans="1:8" x14ac:dyDescent="0.3">
      <c r="A637" s="54">
        <v>636</v>
      </c>
      <c r="B637" s="12">
        <v>3524486.5197335784</v>
      </c>
      <c r="G637" s="54">
        <v>636</v>
      </c>
      <c r="H637" s="94">
        <v>5873868.7289834674</v>
      </c>
    </row>
    <row r="638" spans="1:8" x14ac:dyDescent="0.3">
      <c r="A638" s="54">
        <v>637</v>
      </c>
      <c r="B638" s="12">
        <v>3526364.8587223091</v>
      </c>
      <c r="G638" s="54">
        <v>637</v>
      </c>
      <c r="H638" s="94">
        <v>5812434.1289676391</v>
      </c>
    </row>
    <row r="639" spans="1:8" x14ac:dyDescent="0.3">
      <c r="A639" s="54">
        <v>638</v>
      </c>
      <c r="B639" s="12">
        <v>3418868.2497501201</v>
      </c>
      <c r="G639" s="54">
        <v>638</v>
      </c>
      <c r="H639" s="94">
        <v>5714401.0452494686</v>
      </c>
    </row>
    <row r="640" spans="1:8" x14ac:dyDescent="0.3">
      <c r="A640" s="54">
        <v>639</v>
      </c>
      <c r="B640" s="12">
        <v>3495019.3164139721</v>
      </c>
      <c r="G640" s="54">
        <v>639</v>
      </c>
      <c r="H640" s="94">
        <v>5766131.3103609346</v>
      </c>
    </row>
    <row r="641" spans="1:8" x14ac:dyDescent="0.3">
      <c r="A641" s="54">
        <v>640</v>
      </c>
      <c r="B641" s="12">
        <v>3576344.2737772488</v>
      </c>
      <c r="G641" s="54">
        <v>640</v>
      </c>
      <c r="H641" s="94">
        <v>5816004.9036504533</v>
      </c>
    </row>
    <row r="642" spans="1:8" x14ac:dyDescent="0.3">
      <c r="A642" s="54">
        <v>641</v>
      </c>
      <c r="B642" s="12">
        <v>3446217.2401912729</v>
      </c>
      <c r="G642" s="54">
        <v>641</v>
      </c>
      <c r="H642" s="94">
        <v>5808334.7960352162</v>
      </c>
    </row>
    <row r="643" spans="1:8" x14ac:dyDescent="0.3">
      <c r="A643" s="54">
        <v>642</v>
      </c>
      <c r="B643" s="12">
        <v>3124871.3678018395</v>
      </c>
      <c r="G643" s="54">
        <v>642</v>
      </c>
      <c r="H643" s="94">
        <v>5832321.6313536875</v>
      </c>
    </row>
    <row r="644" spans="1:8" x14ac:dyDescent="0.3">
      <c r="A644" s="54">
        <v>643</v>
      </c>
      <c r="B644" s="12">
        <v>3928432.7156831911</v>
      </c>
      <c r="G644" s="54">
        <v>643</v>
      </c>
      <c r="H644" s="94">
        <v>5825417.6287905602</v>
      </c>
    </row>
    <row r="645" spans="1:8" x14ac:dyDescent="0.3">
      <c r="A645" s="54">
        <v>644</v>
      </c>
      <c r="B645" s="12">
        <v>3569657.4245062242</v>
      </c>
      <c r="G645" s="54">
        <v>644</v>
      </c>
      <c r="H645" s="94">
        <v>5886531.8105809409</v>
      </c>
    </row>
    <row r="646" spans="1:8" x14ac:dyDescent="0.3">
      <c r="A646" s="54">
        <v>645</v>
      </c>
      <c r="B646" s="12">
        <v>3364041.2523559257</v>
      </c>
      <c r="G646" s="54">
        <v>645</v>
      </c>
      <c r="H646" s="94">
        <v>5874275.1804249762</v>
      </c>
    </row>
    <row r="647" spans="1:8" x14ac:dyDescent="0.3">
      <c r="A647" s="54">
        <v>646</v>
      </c>
      <c r="B647" s="12">
        <v>3530206.8840125469</v>
      </c>
      <c r="G647" s="54">
        <v>646</v>
      </c>
      <c r="H647" s="94">
        <v>5950709.6079897145</v>
      </c>
    </row>
    <row r="648" spans="1:8" x14ac:dyDescent="0.3">
      <c r="A648" s="54">
        <v>647</v>
      </c>
      <c r="B648" s="12">
        <v>3462286.2033579778</v>
      </c>
      <c r="G648" s="54">
        <v>647</v>
      </c>
      <c r="H648" s="94">
        <v>5886131.0275206892</v>
      </c>
    </row>
    <row r="649" spans="1:8" x14ac:dyDescent="0.3">
      <c r="A649" s="54">
        <v>648</v>
      </c>
      <c r="B649" s="12">
        <v>3580720.1829359215</v>
      </c>
      <c r="G649" s="54">
        <v>648</v>
      </c>
      <c r="H649" s="94">
        <v>5759216.2863965295</v>
      </c>
    </row>
    <row r="650" spans="1:8" x14ac:dyDescent="0.3">
      <c r="A650" s="54">
        <v>649</v>
      </c>
      <c r="B650" s="12">
        <v>3195081.8315794575</v>
      </c>
      <c r="G650" s="54">
        <v>649</v>
      </c>
      <c r="H650" s="94">
        <v>5862434.3811302576</v>
      </c>
    </row>
    <row r="651" spans="1:8" x14ac:dyDescent="0.3">
      <c r="A651" s="54">
        <v>650</v>
      </c>
      <c r="B651" s="12">
        <v>3448285.2034351928</v>
      </c>
      <c r="G651" s="54">
        <v>650</v>
      </c>
      <c r="H651" s="94">
        <v>5960237.913784273</v>
      </c>
    </row>
    <row r="652" spans="1:8" x14ac:dyDescent="0.3">
      <c r="A652" s="54">
        <v>651</v>
      </c>
      <c r="B652" s="12">
        <v>3306461.0388786835</v>
      </c>
      <c r="G652" s="54">
        <v>651</v>
      </c>
      <c r="H652" s="94">
        <v>5834387.2103492385</v>
      </c>
    </row>
    <row r="653" spans="1:8" x14ac:dyDescent="0.3">
      <c r="A653" s="54">
        <v>652</v>
      </c>
      <c r="B653" s="12">
        <v>3359223.6991211474</v>
      </c>
      <c r="G653" s="54">
        <v>652</v>
      </c>
      <c r="H653" s="94">
        <v>5918870.2943573641</v>
      </c>
    </row>
    <row r="654" spans="1:8" x14ac:dyDescent="0.3">
      <c r="A654" s="54">
        <v>653</v>
      </c>
      <c r="B654" s="12">
        <v>3604883.0357921738</v>
      </c>
      <c r="G654" s="54">
        <v>653</v>
      </c>
      <c r="H654" s="94">
        <v>5860246.7267042836</v>
      </c>
    </row>
    <row r="655" spans="1:8" x14ac:dyDescent="0.3">
      <c r="A655" s="54">
        <v>654</v>
      </c>
      <c r="B655" s="12">
        <v>3174244.7011452895</v>
      </c>
      <c r="G655" s="54">
        <v>654</v>
      </c>
      <c r="H655" s="94">
        <v>5837570.57188001</v>
      </c>
    </row>
    <row r="656" spans="1:8" x14ac:dyDescent="0.3">
      <c r="A656" s="54">
        <v>655</v>
      </c>
      <c r="B656" s="12">
        <v>3626104.0196699258</v>
      </c>
      <c r="G656" s="54">
        <v>655</v>
      </c>
      <c r="H656" s="94">
        <v>5897126.944507678</v>
      </c>
    </row>
    <row r="657" spans="1:8" x14ac:dyDescent="0.3">
      <c r="A657" s="54">
        <v>656</v>
      </c>
      <c r="B657" s="12">
        <v>3569915.5514408792</v>
      </c>
      <c r="G657" s="54">
        <v>656</v>
      </c>
      <c r="H657" s="94">
        <v>5901826.488338829</v>
      </c>
    </row>
    <row r="658" spans="1:8" x14ac:dyDescent="0.3">
      <c r="A658" s="54">
        <v>657</v>
      </c>
      <c r="B658" s="12">
        <v>3438053.003013168</v>
      </c>
      <c r="G658" s="54">
        <v>657</v>
      </c>
      <c r="H658" s="94">
        <v>5783577.0057838773</v>
      </c>
    </row>
    <row r="659" spans="1:8" x14ac:dyDescent="0.3">
      <c r="A659" s="54">
        <v>658</v>
      </c>
      <c r="B659" s="12">
        <v>3618938.6373931263</v>
      </c>
      <c r="G659" s="54">
        <v>658</v>
      </c>
      <c r="H659" s="94">
        <v>5905395.1492432365</v>
      </c>
    </row>
    <row r="660" spans="1:8" x14ac:dyDescent="0.3">
      <c r="A660" s="54">
        <v>659</v>
      </c>
      <c r="B660" s="12">
        <v>3202257.3761683856</v>
      </c>
      <c r="G660" s="54">
        <v>659</v>
      </c>
      <c r="H660" s="94">
        <v>5829277.2646099124</v>
      </c>
    </row>
    <row r="661" spans="1:8" x14ac:dyDescent="0.3">
      <c r="A661" s="54">
        <v>660</v>
      </c>
      <c r="B661" s="12">
        <v>3433371.6342411949</v>
      </c>
      <c r="G661" s="54">
        <v>660</v>
      </c>
      <c r="H661" s="94">
        <v>5871744.6873730561</v>
      </c>
    </row>
    <row r="662" spans="1:8" x14ac:dyDescent="0.3">
      <c r="A662" s="54">
        <v>661</v>
      </c>
      <c r="B662" s="12">
        <v>3519047.8740543425</v>
      </c>
      <c r="G662" s="54">
        <v>661</v>
      </c>
      <c r="H662" s="94">
        <v>5804141.5620827805</v>
      </c>
    </row>
    <row r="663" spans="1:8" x14ac:dyDescent="0.3">
      <c r="A663" s="54">
        <v>662</v>
      </c>
      <c r="B663" s="12">
        <v>3450832.2938323016</v>
      </c>
      <c r="G663" s="54">
        <v>662</v>
      </c>
      <c r="H663" s="94">
        <v>5912831.4873547107</v>
      </c>
    </row>
    <row r="664" spans="1:8" x14ac:dyDescent="0.3">
      <c r="A664" s="54">
        <v>663</v>
      </c>
      <c r="B664" s="12">
        <v>3643112.118299542</v>
      </c>
      <c r="G664" s="54">
        <v>663</v>
      </c>
      <c r="H664" s="94">
        <v>5878813.2794531714</v>
      </c>
    </row>
    <row r="665" spans="1:8" x14ac:dyDescent="0.3">
      <c r="A665" s="54">
        <v>664</v>
      </c>
      <c r="B665" s="12">
        <v>3307750.6825093846</v>
      </c>
      <c r="G665" s="54">
        <v>664</v>
      </c>
      <c r="H665" s="94">
        <v>5752580.6118525574</v>
      </c>
    </row>
    <row r="666" spans="1:8" x14ac:dyDescent="0.3">
      <c r="A666" s="54">
        <v>665</v>
      </c>
      <c r="B666" s="12">
        <v>3434859.7115003113</v>
      </c>
      <c r="G666" s="54">
        <v>665</v>
      </c>
      <c r="H666" s="94">
        <v>5895614.9259795155</v>
      </c>
    </row>
    <row r="667" spans="1:8" x14ac:dyDescent="0.3">
      <c r="A667" s="54">
        <v>666</v>
      </c>
      <c r="B667" s="12">
        <v>3409900.0432525636</v>
      </c>
      <c r="G667" s="54">
        <v>666</v>
      </c>
      <c r="H667" s="94">
        <v>5893790.8723541675</v>
      </c>
    </row>
    <row r="668" spans="1:8" x14ac:dyDescent="0.3">
      <c r="A668" s="54">
        <v>667</v>
      </c>
      <c r="B668" s="12">
        <v>3392587.7584901173</v>
      </c>
      <c r="G668" s="54">
        <v>667</v>
      </c>
      <c r="H668" s="94">
        <v>5903131.3218213264</v>
      </c>
    </row>
    <row r="669" spans="1:8" x14ac:dyDescent="0.3">
      <c r="A669" s="54">
        <v>668</v>
      </c>
      <c r="B669" s="12">
        <v>3446747.4808040806</v>
      </c>
      <c r="G669" s="54">
        <v>668</v>
      </c>
      <c r="H669" s="94">
        <v>5781657.8255397361</v>
      </c>
    </row>
    <row r="670" spans="1:8" x14ac:dyDescent="0.3">
      <c r="A670" s="54">
        <v>669</v>
      </c>
      <c r="B670" s="12">
        <v>3435762.3043277753</v>
      </c>
      <c r="G670" s="54">
        <v>669</v>
      </c>
      <c r="H670" s="94">
        <v>5874311.2781744022</v>
      </c>
    </row>
    <row r="671" spans="1:8" x14ac:dyDescent="0.3">
      <c r="A671" s="54">
        <v>670</v>
      </c>
      <c r="B671" s="12">
        <v>3419556.2705909535</v>
      </c>
      <c r="G671" s="54">
        <v>670</v>
      </c>
      <c r="H671" s="94">
        <v>5973097.9470777288</v>
      </c>
    </row>
    <row r="672" spans="1:8" x14ac:dyDescent="0.3">
      <c r="A672" s="54">
        <v>671</v>
      </c>
      <c r="B672" s="12">
        <v>3337502.8376350389</v>
      </c>
      <c r="G672" s="54">
        <v>671</v>
      </c>
      <c r="H672" s="94">
        <v>5829793.3121431535</v>
      </c>
    </row>
    <row r="673" spans="1:8" x14ac:dyDescent="0.3">
      <c r="A673" s="54">
        <v>672</v>
      </c>
      <c r="B673" s="12">
        <v>3472490.2957507735</v>
      </c>
      <c r="G673" s="54">
        <v>672</v>
      </c>
      <c r="H673" s="94">
        <v>5933080.6990941232</v>
      </c>
    </row>
    <row r="674" spans="1:8" x14ac:dyDescent="0.3">
      <c r="A674" s="54">
        <v>673</v>
      </c>
      <c r="B674" s="12">
        <v>3414250.432088804</v>
      </c>
      <c r="G674" s="54">
        <v>673</v>
      </c>
      <c r="H674" s="94">
        <v>6001117.4669374404</v>
      </c>
    </row>
    <row r="675" spans="1:8" x14ac:dyDescent="0.3">
      <c r="A675" s="54">
        <v>674</v>
      </c>
      <c r="B675" s="12">
        <v>3553014.4952072003</v>
      </c>
      <c r="G675" s="54">
        <v>674</v>
      </c>
      <c r="H675" s="94">
        <v>5910117.90590329</v>
      </c>
    </row>
    <row r="676" spans="1:8" x14ac:dyDescent="0.3">
      <c r="A676" s="54">
        <v>675</v>
      </c>
      <c r="B676" s="12">
        <v>3326196.8786241952</v>
      </c>
      <c r="G676" s="54">
        <v>675</v>
      </c>
      <c r="H676" s="94">
        <v>5864053.1396167548</v>
      </c>
    </row>
    <row r="677" spans="1:8" x14ac:dyDescent="0.3">
      <c r="A677" s="54">
        <v>676</v>
      </c>
      <c r="B677" s="12">
        <v>3521231.9684797246</v>
      </c>
      <c r="G677" s="54">
        <v>676</v>
      </c>
      <c r="H677" s="94">
        <v>5856700.7640579473</v>
      </c>
    </row>
    <row r="678" spans="1:8" x14ac:dyDescent="0.3">
      <c r="A678" s="54">
        <v>677</v>
      </c>
      <c r="B678" s="12">
        <v>3281541.297860011</v>
      </c>
      <c r="G678" s="54">
        <v>677</v>
      </c>
      <c r="H678" s="94">
        <v>5861133.6590986466</v>
      </c>
    </row>
    <row r="679" spans="1:8" x14ac:dyDescent="0.3">
      <c r="A679" s="54">
        <v>678</v>
      </c>
      <c r="B679" s="12">
        <v>3189499.1872879155</v>
      </c>
      <c r="G679" s="54">
        <v>678</v>
      </c>
      <c r="H679" s="94">
        <v>5674063.2773419898</v>
      </c>
    </row>
    <row r="680" spans="1:8" x14ac:dyDescent="0.3">
      <c r="A680" s="54">
        <v>679</v>
      </c>
      <c r="B680" s="12">
        <v>3453408.4818589967</v>
      </c>
      <c r="G680" s="54">
        <v>679</v>
      </c>
      <c r="H680" s="94">
        <v>5851015.2597608836</v>
      </c>
    </row>
    <row r="681" spans="1:8" x14ac:dyDescent="0.3">
      <c r="A681" s="54">
        <v>680</v>
      </c>
      <c r="B681" s="12">
        <v>3333048.520805059</v>
      </c>
      <c r="G681" s="54">
        <v>680</v>
      </c>
      <c r="H681" s="94">
        <v>5925043.1900488902</v>
      </c>
    </row>
    <row r="682" spans="1:8" x14ac:dyDescent="0.3">
      <c r="A682" s="54">
        <v>681</v>
      </c>
      <c r="B682" s="12">
        <v>3682548.4262001333</v>
      </c>
      <c r="G682" s="54">
        <v>681</v>
      </c>
      <c r="H682" s="94">
        <v>5890948.6784446323</v>
      </c>
    </row>
    <row r="683" spans="1:8" x14ac:dyDescent="0.3">
      <c r="A683" s="54">
        <v>682</v>
      </c>
      <c r="B683" s="12">
        <v>3272935.5135489553</v>
      </c>
      <c r="G683" s="54">
        <v>682</v>
      </c>
      <c r="H683" s="94">
        <v>5763560.5566260386</v>
      </c>
    </row>
    <row r="684" spans="1:8" x14ac:dyDescent="0.3">
      <c r="A684" s="54">
        <v>683</v>
      </c>
      <c r="B684" s="12">
        <v>3316138.4403545391</v>
      </c>
      <c r="G684" s="54">
        <v>683</v>
      </c>
      <c r="H684" s="94">
        <v>5903782.3802665025</v>
      </c>
    </row>
    <row r="685" spans="1:8" x14ac:dyDescent="0.3">
      <c r="A685" s="54">
        <v>684</v>
      </c>
      <c r="B685" s="12">
        <v>3486249.9896176932</v>
      </c>
      <c r="G685" s="54">
        <v>684</v>
      </c>
      <c r="H685" s="94">
        <v>5970984.8818613049</v>
      </c>
    </row>
    <row r="686" spans="1:8" x14ac:dyDescent="0.3">
      <c r="A686" s="54">
        <v>685</v>
      </c>
      <c r="B686" s="12">
        <v>3365097.0330548817</v>
      </c>
      <c r="G686" s="54">
        <v>685</v>
      </c>
      <c r="H686" s="94">
        <v>5810822.8769345963</v>
      </c>
    </row>
    <row r="687" spans="1:8" x14ac:dyDescent="0.3">
      <c r="A687" s="54">
        <v>686</v>
      </c>
      <c r="B687" s="12">
        <v>3290608.2653641356</v>
      </c>
      <c r="G687" s="54">
        <v>686</v>
      </c>
      <c r="H687" s="94">
        <v>5869897.9707731856</v>
      </c>
    </row>
    <row r="688" spans="1:8" x14ac:dyDescent="0.3">
      <c r="A688" s="54">
        <v>687</v>
      </c>
      <c r="B688" s="12">
        <v>3475714.6125193569</v>
      </c>
      <c r="G688" s="54">
        <v>687</v>
      </c>
      <c r="H688" s="94">
        <v>5786014.8972247727</v>
      </c>
    </row>
    <row r="689" spans="1:8" x14ac:dyDescent="0.3">
      <c r="A689" s="54">
        <v>688</v>
      </c>
      <c r="B689" s="12">
        <v>3318902.8292130642</v>
      </c>
      <c r="G689" s="54">
        <v>688</v>
      </c>
      <c r="H689" s="94">
        <v>5775063.7080601733</v>
      </c>
    </row>
    <row r="690" spans="1:8" x14ac:dyDescent="0.3">
      <c r="A690" s="54">
        <v>689</v>
      </c>
      <c r="B690" s="12">
        <v>3477929.7482894007</v>
      </c>
      <c r="G690" s="54">
        <v>689</v>
      </c>
      <c r="H690" s="94">
        <v>5847178.0989754712</v>
      </c>
    </row>
    <row r="691" spans="1:8" x14ac:dyDescent="0.3">
      <c r="A691" s="54">
        <v>690</v>
      </c>
      <c r="B691" s="12">
        <v>3406289.6993285818</v>
      </c>
      <c r="G691" s="54">
        <v>690</v>
      </c>
      <c r="H691" s="94">
        <v>5968992.93585137</v>
      </c>
    </row>
    <row r="692" spans="1:8" x14ac:dyDescent="0.3">
      <c r="A692" s="54">
        <v>691</v>
      </c>
      <c r="B692" s="12">
        <v>3277979.8542008731</v>
      </c>
      <c r="G692" s="54">
        <v>691</v>
      </c>
      <c r="H692" s="94">
        <v>5719616.4420986939</v>
      </c>
    </row>
    <row r="693" spans="1:8" x14ac:dyDescent="0.3">
      <c r="A693" s="54">
        <v>692</v>
      </c>
      <c r="B693" s="12">
        <v>3540592.432280832</v>
      </c>
      <c r="G693" s="54">
        <v>692</v>
      </c>
      <c r="H693" s="94">
        <v>5868624.9751152704</v>
      </c>
    </row>
    <row r="694" spans="1:8" x14ac:dyDescent="0.3">
      <c r="A694" s="54">
        <v>693</v>
      </c>
      <c r="B694" s="12">
        <v>3352299.1525386032</v>
      </c>
      <c r="G694" s="54">
        <v>693</v>
      </c>
      <c r="H694" s="94">
        <v>5835411.0526548466</v>
      </c>
    </row>
    <row r="695" spans="1:8" x14ac:dyDescent="0.3">
      <c r="A695" s="54">
        <v>694</v>
      </c>
      <c r="B695" s="12">
        <v>3325737.0682843933</v>
      </c>
      <c r="G695" s="54">
        <v>694</v>
      </c>
      <c r="H695" s="94">
        <v>5828984.6530187298</v>
      </c>
    </row>
    <row r="696" spans="1:8" x14ac:dyDescent="0.3">
      <c r="A696" s="54">
        <v>695</v>
      </c>
      <c r="B696" s="12">
        <v>3210578.4254547022</v>
      </c>
      <c r="G696" s="54">
        <v>695</v>
      </c>
      <c r="H696" s="94">
        <v>5918771.5045927102</v>
      </c>
    </row>
    <row r="697" spans="1:8" x14ac:dyDescent="0.3">
      <c r="A697" s="54">
        <v>696</v>
      </c>
      <c r="B697" s="12">
        <v>3261135.0961269881</v>
      </c>
      <c r="G697" s="54">
        <v>696</v>
      </c>
      <c r="H697" s="94">
        <v>5754354.2988557555</v>
      </c>
    </row>
    <row r="698" spans="1:8" x14ac:dyDescent="0.3">
      <c r="A698" s="54">
        <v>697</v>
      </c>
      <c r="B698" s="12">
        <v>3009740.5333731952</v>
      </c>
      <c r="G698" s="54">
        <v>697</v>
      </c>
      <c r="H698" s="94">
        <v>5804476.805237514</v>
      </c>
    </row>
    <row r="699" spans="1:8" x14ac:dyDescent="0.3">
      <c r="A699" s="54">
        <v>698</v>
      </c>
      <c r="B699" s="12">
        <v>3186487.057226649</v>
      </c>
      <c r="G699" s="54">
        <v>698</v>
      </c>
      <c r="H699" s="94">
        <v>5947929.9437906146</v>
      </c>
    </row>
    <row r="700" spans="1:8" x14ac:dyDescent="0.3">
      <c r="A700" s="54">
        <v>699</v>
      </c>
      <c r="B700" s="12">
        <v>3448428.4868982234</v>
      </c>
      <c r="G700" s="54">
        <v>699</v>
      </c>
      <c r="H700" s="94">
        <v>5852617.3290814608</v>
      </c>
    </row>
    <row r="701" spans="1:8" x14ac:dyDescent="0.3">
      <c r="A701" s="54">
        <v>700</v>
      </c>
      <c r="B701" s="12">
        <v>3548103.1849407302</v>
      </c>
      <c r="G701" s="54">
        <v>700</v>
      </c>
      <c r="H701" s="94">
        <v>5822506.6559249852</v>
      </c>
    </row>
    <row r="702" spans="1:8" x14ac:dyDescent="0.3">
      <c r="A702" s="54">
        <v>701</v>
      </c>
      <c r="B702" s="12">
        <v>3604732.6884750836</v>
      </c>
      <c r="G702" s="54">
        <v>701</v>
      </c>
      <c r="H702" s="94">
        <v>5852833.1737598032</v>
      </c>
    </row>
    <row r="703" spans="1:8" x14ac:dyDescent="0.3">
      <c r="A703" s="54">
        <v>702</v>
      </c>
      <c r="B703" s="12">
        <v>3484841.1851473828</v>
      </c>
      <c r="G703" s="54">
        <v>702</v>
      </c>
      <c r="H703" s="94">
        <v>5862599.23763962</v>
      </c>
    </row>
    <row r="704" spans="1:8" x14ac:dyDescent="0.3">
      <c r="A704" s="54">
        <v>703</v>
      </c>
      <c r="B704" s="12">
        <v>3525403.8322905195</v>
      </c>
      <c r="G704" s="54">
        <v>703</v>
      </c>
      <c r="H704" s="94">
        <v>5897711.5003886297</v>
      </c>
    </row>
    <row r="705" spans="1:8" x14ac:dyDescent="0.3">
      <c r="A705" s="54">
        <v>704</v>
      </c>
      <c r="B705" s="12">
        <v>3518649.2049432509</v>
      </c>
      <c r="G705" s="54">
        <v>704</v>
      </c>
      <c r="H705" s="94">
        <v>5895431.6803560574</v>
      </c>
    </row>
    <row r="706" spans="1:8" x14ac:dyDescent="0.3">
      <c r="A706" s="54">
        <v>705</v>
      </c>
      <c r="B706" s="12">
        <v>3346372.9104603399</v>
      </c>
      <c r="G706" s="54">
        <v>705</v>
      </c>
      <c r="H706" s="94">
        <v>5930030.1965873223</v>
      </c>
    </row>
    <row r="707" spans="1:8" x14ac:dyDescent="0.3">
      <c r="A707" s="54">
        <v>706</v>
      </c>
      <c r="B707" s="12">
        <v>3735991.3416308961</v>
      </c>
      <c r="G707" s="54">
        <v>706</v>
      </c>
      <c r="H707" s="94">
        <v>5814100.2318967637</v>
      </c>
    </row>
    <row r="708" spans="1:8" x14ac:dyDescent="0.3">
      <c r="A708" s="54">
        <v>707</v>
      </c>
      <c r="B708" s="12">
        <v>3532420.4439470805</v>
      </c>
      <c r="G708" s="54">
        <v>707</v>
      </c>
      <c r="H708" s="94">
        <v>6012475.0461738957</v>
      </c>
    </row>
    <row r="709" spans="1:8" x14ac:dyDescent="0.3">
      <c r="A709" s="54">
        <v>708</v>
      </c>
      <c r="B709" s="12">
        <v>3090003.8252057983</v>
      </c>
      <c r="G709" s="54">
        <v>708</v>
      </c>
      <c r="H709" s="94">
        <v>5745499.323428534</v>
      </c>
    </row>
    <row r="710" spans="1:8" x14ac:dyDescent="0.3">
      <c r="A710" s="54">
        <v>709</v>
      </c>
      <c r="B710" s="12">
        <v>3544233.8898897693</v>
      </c>
      <c r="G710" s="54">
        <v>709</v>
      </c>
      <c r="H710" s="94">
        <v>5748144.9411774669</v>
      </c>
    </row>
    <row r="711" spans="1:8" x14ac:dyDescent="0.3">
      <c r="A711" s="54">
        <v>710</v>
      </c>
      <c r="B711" s="12">
        <v>3552847.3614340872</v>
      </c>
      <c r="G711" s="54">
        <v>710</v>
      </c>
      <c r="H711" s="94">
        <v>5847635.3110082671</v>
      </c>
    </row>
    <row r="712" spans="1:8" x14ac:dyDescent="0.3">
      <c r="A712" s="54">
        <v>711</v>
      </c>
      <c r="B712" s="12">
        <v>3231056.0961521552</v>
      </c>
      <c r="G712" s="54">
        <v>711</v>
      </c>
      <c r="H712" s="94">
        <v>5926450.8300515227</v>
      </c>
    </row>
    <row r="713" spans="1:8" x14ac:dyDescent="0.3">
      <c r="A713" s="54">
        <v>712</v>
      </c>
      <c r="B713" s="12">
        <v>3391526.4727670616</v>
      </c>
      <c r="G713" s="54">
        <v>712</v>
      </c>
      <c r="H713" s="94">
        <v>5824148.3202931779</v>
      </c>
    </row>
    <row r="714" spans="1:8" x14ac:dyDescent="0.3">
      <c r="A714" s="54">
        <v>713</v>
      </c>
      <c r="B714" s="12">
        <v>3199485.5230401554</v>
      </c>
      <c r="G714" s="54">
        <v>713</v>
      </c>
      <c r="H714" s="94">
        <v>5892064.1351001514</v>
      </c>
    </row>
    <row r="715" spans="1:8" x14ac:dyDescent="0.3">
      <c r="A715" s="54">
        <v>714</v>
      </c>
      <c r="B715" s="12">
        <v>3619759.1884554219</v>
      </c>
      <c r="G715" s="54">
        <v>714</v>
      </c>
      <c r="H715" s="94">
        <v>5892822.7907233061</v>
      </c>
    </row>
    <row r="716" spans="1:8" x14ac:dyDescent="0.3">
      <c r="A716" s="54">
        <v>715</v>
      </c>
      <c r="B716" s="12">
        <v>3610488.890108922</v>
      </c>
      <c r="G716" s="54">
        <v>715</v>
      </c>
      <c r="H716" s="94">
        <v>5754928.5261876937</v>
      </c>
    </row>
    <row r="717" spans="1:8" x14ac:dyDescent="0.3">
      <c r="A717" s="54">
        <v>716</v>
      </c>
      <c r="B717" s="12">
        <v>3734333.7312038289</v>
      </c>
      <c r="G717" s="54">
        <v>716</v>
      </c>
      <c r="H717" s="94">
        <v>5833192.4360373421</v>
      </c>
    </row>
    <row r="718" spans="1:8" x14ac:dyDescent="0.3">
      <c r="A718" s="54">
        <v>717</v>
      </c>
      <c r="B718" s="12">
        <v>3153801.7590678181</v>
      </c>
      <c r="G718" s="54">
        <v>717</v>
      </c>
      <c r="H718" s="94">
        <v>5835018.5911095263</v>
      </c>
    </row>
    <row r="719" spans="1:8" x14ac:dyDescent="0.3">
      <c r="A719" s="54">
        <v>718</v>
      </c>
      <c r="B719" s="12">
        <v>3746982.2944781706</v>
      </c>
      <c r="G719" s="54">
        <v>718</v>
      </c>
      <c r="H719" s="94">
        <v>5881807.5252572587</v>
      </c>
    </row>
    <row r="720" spans="1:8" x14ac:dyDescent="0.3">
      <c r="A720" s="54">
        <v>719</v>
      </c>
      <c r="B720" s="12">
        <v>3789429.8200707645</v>
      </c>
      <c r="G720" s="54">
        <v>719</v>
      </c>
      <c r="H720" s="94">
        <v>5766297.2977536405</v>
      </c>
    </row>
    <row r="721" spans="1:8" x14ac:dyDescent="0.3">
      <c r="A721" s="54">
        <v>720</v>
      </c>
      <c r="B721" s="12">
        <v>3363064.1518703192</v>
      </c>
      <c r="G721" s="54">
        <v>720</v>
      </c>
      <c r="H721" s="94">
        <v>5750530.0928688273</v>
      </c>
    </row>
    <row r="722" spans="1:8" x14ac:dyDescent="0.3">
      <c r="A722" s="54">
        <v>721</v>
      </c>
      <c r="B722" s="12">
        <v>3440512.9150624974</v>
      </c>
      <c r="G722" s="54">
        <v>721</v>
      </c>
      <c r="H722" s="94">
        <v>5934248.1582474904</v>
      </c>
    </row>
    <row r="723" spans="1:8" x14ac:dyDescent="0.3">
      <c r="A723" s="54">
        <v>722</v>
      </c>
      <c r="B723" s="12">
        <v>3537187.8234409159</v>
      </c>
      <c r="G723" s="54">
        <v>722</v>
      </c>
      <c r="H723" s="94">
        <v>5842608.4240657436</v>
      </c>
    </row>
    <row r="724" spans="1:8" x14ac:dyDescent="0.3">
      <c r="A724" s="54">
        <v>723</v>
      </c>
      <c r="B724" s="12">
        <v>3811933.7858881755</v>
      </c>
      <c r="G724" s="54">
        <v>723</v>
      </c>
      <c r="H724" s="94">
        <v>5903713.4173359275</v>
      </c>
    </row>
    <row r="725" spans="1:8" x14ac:dyDescent="0.3">
      <c r="A725" s="54">
        <v>724</v>
      </c>
      <c r="B725" s="12">
        <v>3532567.9921400817</v>
      </c>
      <c r="G725" s="54">
        <v>724</v>
      </c>
      <c r="H725" s="94">
        <v>5916779.3255017651</v>
      </c>
    </row>
    <row r="726" spans="1:8" x14ac:dyDescent="0.3">
      <c r="A726" s="54">
        <v>725</v>
      </c>
      <c r="B726" s="12">
        <v>3304656.4495197372</v>
      </c>
      <c r="G726" s="54">
        <v>725</v>
      </c>
      <c r="H726" s="94">
        <v>5837661.0905619925</v>
      </c>
    </row>
    <row r="727" spans="1:8" x14ac:dyDescent="0.3">
      <c r="A727" s="54">
        <v>726</v>
      </c>
      <c r="B727" s="12">
        <v>3512644.5482651577</v>
      </c>
      <c r="G727" s="54">
        <v>726</v>
      </c>
      <c r="H727" s="94">
        <v>5865059.8382126046</v>
      </c>
    </row>
    <row r="728" spans="1:8" x14ac:dyDescent="0.3">
      <c r="A728" s="54">
        <v>727</v>
      </c>
      <c r="B728" s="12">
        <v>3406947.4648671327</v>
      </c>
      <c r="G728" s="54">
        <v>727</v>
      </c>
      <c r="H728" s="94">
        <v>5764634.2856564187</v>
      </c>
    </row>
    <row r="729" spans="1:8" x14ac:dyDescent="0.3">
      <c r="A729" s="54">
        <v>728</v>
      </c>
      <c r="B729" s="12">
        <v>3352168.5736254156</v>
      </c>
      <c r="G729" s="54">
        <v>728</v>
      </c>
      <c r="H729" s="94">
        <v>5861696.368585052</v>
      </c>
    </row>
    <row r="730" spans="1:8" x14ac:dyDescent="0.3">
      <c r="A730" s="54">
        <v>729</v>
      </c>
      <c r="B730" s="12">
        <v>3454280.5054367976</v>
      </c>
      <c r="G730" s="54">
        <v>729</v>
      </c>
      <c r="H730" s="94">
        <v>5811404.5761624901</v>
      </c>
    </row>
    <row r="731" spans="1:8" x14ac:dyDescent="0.3">
      <c r="A731" s="54">
        <v>730</v>
      </c>
      <c r="B731" s="12">
        <v>3402309.7020856678</v>
      </c>
      <c r="G731" s="54">
        <v>730</v>
      </c>
      <c r="H731" s="94">
        <v>5915811.8231212506</v>
      </c>
    </row>
    <row r="732" spans="1:8" x14ac:dyDescent="0.3">
      <c r="A732" s="54">
        <v>731</v>
      </c>
      <c r="B732" s="12">
        <v>3228416.3518005922</v>
      </c>
      <c r="G732" s="54">
        <v>731</v>
      </c>
      <c r="H732" s="94">
        <v>5886953.0973447775</v>
      </c>
    </row>
    <row r="733" spans="1:8" x14ac:dyDescent="0.3">
      <c r="A733" s="54">
        <v>732</v>
      </c>
      <c r="B733" s="12">
        <v>3387954.1925102123</v>
      </c>
      <c r="G733" s="54">
        <v>732</v>
      </c>
      <c r="H733" s="94">
        <v>5817095.1672960669</v>
      </c>
    </row>
    <row r="734" spans="1:8" x14ac:dyDescent="0.3">
      <c r="A734" s="54">
        <v>733</v>
      </c>
      <c r="B734" s="12">
        <v>3444566.3471016367</v>
      </c>
      <c r="G734" s="54">
        <v>733</v>
      </c>
      <c r="H734" s="94">
        <v>5897061.0452991845</v>
      </c>
    </row>
    <row r="735" spans="1:8" x14ac:dyDescent="0.3">
      <c r="A735" s="54">
        <v>734</v>
      </c>
      <c r="B735" s="12">
        <v>3681197.1786471657</v>
      </c>
      <c r="G735" s="54">
        <v>734</v>
      </c>
      <c r="H735" s="94">
        <v>5793920.1216497738</v>
      </c>
    </row>
    <row r="736" spans="1:8" x14ac:dyDescent="0.3">
      <c r="A736" s="54">
        <v>735</v>
      </c>
      <c r="B736" s="12">
        <v>3661910.3707082779</v>
      </c>
      <c r="G736" s="54">
        <v>735</v>
      </c>
      <c r="H736" s="94">
        <v>5778401.9672287293</v>
      </c>
    </row>
    <row r="737" spans="1:8" x14ac:dyDescent="0.3">
      <c r="A737" s="54">
        <v>736</v>
      </c>
      <c r="B737" s="12">
        <v>3801802.3616162343</v>
      </c>
      <c r="G737" s="54">
        <v>736</v>
      </c>
      <c r="H737" s="94">
        <v>5822272.8066150025</v>
      </c>
    </row>
    <row r="738" spans="1:8" x14ac:dyDescent="0.3">
      <c r="A738" s="54">
        <v>737</v>
      </c>
      <c r="B738" s="12">
        <v>3150839.06026321</v>
      </c>
      <c r="G738" s="54">
        <v>737</v>
      </c>
      <c r="H738" s="94">
        <v>5892199.7953643426</v>
      </c>
    </row>
    <row r="739" spans="1:8" x14ac:dyDescent="0.3">
      <c r="A739" s="54">
        <v>738</v>
      </c>
      <c r="B739" s="12">
        <v>3529704.2600485934</v>
      </c>
      <c r="G739" s="54">
        <v>738</v>
      </c>
      <c r="H739" s="94">
        <v>5875067.1300573815</v>
      </c>
    </row>
    <row r="740" spans="1:8" x14ac:dyDescent="0.3">
      <c r="A740" s="54">
        <v>739</v>
      </c>
      <c r="B740" s="12">
        <v>3447310.979673401</v>
      </c>
      <c r="G740" s="54">
        <v>739</v>
      </c>
      <c r="H740" s="94">
        <v>5882519.6008928223</v>
      </c>
    </row>
    <row r="741" spans="1:8" x14ac:dyDescent="0.3">
      <c r="A741" s="54">
        <v>740</v>
      </c>
      <c r="B741" s="12">
        <v>3519049.4664311092</v>
      </c>
      <c r="G741" s="54">
        <v>740</v>
      </c>
      <c r="H741" s="94">
        <v>5795036.155925828</v>
      </c>
    </row>
    <row r="742" spans="1:8" x14ac:dyDescent="0.3">
      <c r="A742" s="54">
        <v>741</v>
      </c>
      <c r="B742" s="12">
        <v>3661398.4005101626</v>
      </c>
      <c r="G742" s="54">
        <v>741</v>
      </c>
      <c r="H742" s="94">
        <v>5765210.721702477</v>
      </c>
    </row>
    <row r="743" spans="1:8" x14ac:dyDescent="0.3">
      <c r="A743" s="54">
        <v>742</v>
      </c>
      <c r="B743" s="12">
        <v>3386181.8607561202</v>
      </c>
      <c r="G743" s="54">
        <v>742</v>
      </c>
      <c r="H743" s="94">
        <v>5770788.2597995969</v>
      </c>
    </row>
    <row r="744" spans="1:8" x14ac:dyDescent="0.3">
      <c r="A744" s="54">
        <v>743</v>
      </c>
      <c r="B744" s="12">
        <v>3334334.6209800038</v>
      </c>
      <c r="G744" s="54">
        <v>743</v>
      </c>
      <c r="H744" s="94">
        <v>5878491.4094160637</v>
      </c>
    </row>
    <row r="745" spans="1:8" x14ac:dyDescent="0.3">
      <c r="A745" s="54">
        <v>744</v>
      </c>
      <c r="B745" s="12">
        <v>3649906.6401101928</v>
      </c>
      <c r="G745" s="54">
        <v>744</v>
      </c>
      <c r="H745" s="94">
        <v>5824728.8130576322</v>
      </c>
    </row>
    <row r="746" spans="1:8" x14ac:dyDescent="0.3">
      <c r="A746" s="54">
        <v>745</v>
      </c>
      <c r="B746" s="12">
        <v>3222298.5586939012</v>
      </c>
      <c r="G746" s="54">
        <v>745</v>
      </c>
      <c r="H746" s="94">
        <v>5914465.1563690193</v>
      </c>
    </row>
    <row r="747" spans="1:8" x14ac:dyDescent="0.3">
      <c r="A747" s="54">
        <v>746</v>
      </c>
      <c r="B747" s="12">
        <v>3836868.1884624823</v>
      </c>
      <c r="G747" s="54">
        <v>746</v>
      </c>
      <c r="H747" s="94">
        <v>5898199.4153751256</v>
      </c>
    </row>
    <row r="748" spans="1:8" x14ac:dyDescent="0.3">
      <c r="A748" s="54">
        <v>747</v>
      </c>
      <c r="B748" s="12">
        <v>3417044.3114980347</v>
      </c>
      <c r="G748" s="54">
        <v>747</v>
      </c>
      <c r="H748" s="94">
        <v>5929061.935359926</v>
      </c>
    </row>
    <row r="749" spans="1:8" x14ac:dyDescent="0.3">
      <c r="A749" s="54">
        <v>748</v>
      </c>
      <c r="B749" s="12">
        <v>3387841.9296875964</v>
      </c>
      <c r="G749" s="54">
        <v>748</v>
      </c>
      <c r="H749" s="94">
        <v>5751619.2636210006</v>
      </c>
    </row>
    <row r="750" spans="1:8" x14ac:dyDescent="0.3">
      <c r="A750" s="54">
        <v>749</v>
      </c>
      <c r="B750" s="12">
        <v>3535674.349832281</v>
      </c>
      <c r="G750" s="54">
        <v>749</v>
      </c>
      <c r="H750" s="94">
        <v>5867984.1478099683</v>
      </c>
    </row>
    <row r="751" spans="1:8" x14ac:dyDescent="0.3">
      <c r="A751" s="54">
        <v>750</v>
      </c>
      <c r="B751" s="12">
        <v>3802019.5427870466</v>
      </c>
      <c r="G751" s="54">
        <v>750</v>
      </c>
      <c r="H751" s="94">
        <v>5736396.7422736976</v>
      </c>
    </row>
    <row r="752" spans="1:8" x14ac:dyDescent="0.3">
      <c r="A752" s="54">
        <v>751</v>
      </c>
      <c r="B752" s="12">
        <v>3572591.8364272206</v>
      </c>
      <c r="G752" s="54">
        <v>751</v>
      </c>
      <c r="H752" s="94">
        <v>5735251.8639411731</v>
      </c>
    </row>
    <row r="753" spans="1:8" x14ac:dyDescent="0.3">
      <c r="A753" s="54">
        <v>752</v>
      </c>
      <c r="B753" s="12">
        <v>3596039.8426601724</v>
      </c>
      <c r="G753" s="54">
        <v>752</v>
      </c>
      <c r="H753" s="94">
        <v>5774928.9345496874</v>
      </c>
    </row>
    <row r="754" spans="1:8" x14ac:dyDescent="0.3">
      <c r="A754" s="54">
        <v>753</v>
      </c>
      <c r="B754" s="12">
        <v>3574936.2339614267</v>
      </c>
      <c r="G754" s="54">
        <v>753</v>
      </c>
      <c r="H754" s="94">
        <v>5888501.1992608495</v>
      </c>
    </row>
    <row r="755" spans="1:8" x14ac:dyDescent="0.3">
      <c r="A755" s="54">
        <v>754</v>
      </c>
      <c r="B755" s="12">
        <v>3324778.0328795617</v>
      </c>
      <c r="G755" s="54">
        <v>754</v>
      </c>
      <c r="H755" s="94">
        <v>5877240.870903085</v>
      </c>
    </row>
    <row r="756" spans="1:8" x14ac:dyDescent="0.3">
      <c r="A756" s="54">
        <v>755</v>
      </c>
      <c r="B756" s="12">
        <v>3292980.9968503383</v>
      </c>
      <c r="G756" s="54">
        <v>755</v>
      </c>
      <c r="H756" s="94">
        <v>5856404.7742323298</v>
      </c>
    </row>
    <row r="757" spans="1:8" x14ac:dyDescent="0.3">
      <c r="A757" s="54">
        <v>756</v>
      </c>
      <c r="B757" s="12">
        <v>3388113.8142359699</v>
      </c>
      <c r="G757" s="54">
        <v>756</v>
      </c>
      <c r="H757" s="94">
        <v>5877663.672655886</v>
      </c>
    </row>
    <row r="758" spans="1:8" x14ac:dyDescent="0.3">
      <c r="A758" s="54">
        <v>757</v>
      </c>
      <c r="B758" s="12">
        <v>3473276.5230307719</v>
      </c>
      <c r="G758" s="54">
        <v>757</v>
      </c>
      <c r="H758" s="94">
        <v>5974415.0318621919</v>
      </c>
    </row>
    <row r="759" spans="1:8" x14ac:dyDescent="0.3">
      <c r="A759" s="54">
        <v>758</v>
      </c>
      <c r="B759" s="12">
        <v>3447467.0974199977</v>
      </c>
      <c r="G759" s="54">
        <v>758</v>
      </c>
      <c r="H759" s="94">
        <v>5841277.243527323</v>
      </c>
    </row>
    <row r="760" spans="1:8" x14ac:dyDescent="0.3">
      <c r="A760" s="54">
        <v>759</v>
      </c>
      <c r="B760" s="12">
        <v>3512909.2881187135</v>
      </c>
      <c r="G760" s="54">
        <v>759</v>
      </c>
      <c r="H760" s="94">
        <v>5831498.6607649792</v>
      </c>
    </row>
    <row r="761" spans="1:8" x14ac:dyDescent="0.3">
      <c r="A761" s="54">
        <v>760</v>
      </c>
      <c r="B761" s="12">
        <v>3597215.9728534296</v>
      </c>
      <c r="G761" s="54">
        <v>760</v>
      </c>
      <c r="H761" s="94">
        <v>5783025.1963487165</v>
      </c>
    </row>
    <row r="762" spans="1:8" x14ac:dyDescent="0.3">
      <c r="A762" s="54">
        <v>761</v>
      </c>
      <c r="B762" s="12">
        <v>3544850.794184092</v>
      </c>
      <c r="G762" s="54">
        <v>761</v>
      </c>
      <c r="H762" s="94">
        <v>5843047.8832762465</v>
      </c>
    </row>
    <row r="763" spans="1:8" x14ac:dyDescent="0.3">
      <c r="A763" s="54">
        <v>762</v>
      </c>
      <c r="B763" s="12">
        <v>3525075.9322997634</v>
      </c>
      <c r="G763" s="54">
        <v>762</v>
      </c>
      <c r="H763" s="94">
        <v>5839164.6609456409</v>
      </c>
    </row>
    <row r="764" spans="1:8" x14ac:dyDescent="0.3">
      <c r="A764" s="54">
        <v>763</v>
      </c>
      <c r="B764" s="12">
        <v>3365954.9297217974</v>
      </c>
      <c r="G764" s="54">
        <v>763</v>
      </c>
      <c r="H764" s="94">
        <v>5845917.4307557307</v>
      </c>
    </row>
    <row r="765" spans="1:8" x14ac:dyDescent="0.3">
      <c r="A765" s="54">
        <v>764</v>
      </c>
      <c r="B765" s="12">
        <v>3403614.847010504</v>
      </c>
      <c r="G765" s="54">
        <v>764</v>
      </c>
      <c r="H765" s="94">
        <v>5851396.1472912338</v>
      </c>
    </row>
    <row r="766" spans="1:8" x14ac:dyDescent="0.3">
      <c r="A766" s="54">
        <v>765</v>
      </c>
      <c r="B766" s="12">
        <v>3467934.9783220054</v>
      </c>
      <c r="G766" s="54">
        <v>765</v>
      </c>
      <c r="H766" s="94">
        <v>5948869.4382606624</v>
      </c>
    </row>
    <row r="767" spans="1:8" x14ac:dyDescent="0.3">
      <c r="A767" s="54">
        <v>766</v>
      </c>
      <c r="B767" s="12">
        <v>3266992.8105482981</v>
      </c>
      <c r="G767" s="54">
        <v>766</v>
      </c>
      <c r="H767" s="94">
        <v>5887953.4201092813</v>
      </c>
    </row>
    <row r="768" spans="1:8" x14ac:dyDescent="0.3">
      <c r="A768" s="54">
        <v>767</v>
      </c>
      <c r="B768" s="12">
        <v>3438467.9265248203</v>
      </c>
      <c r="G768" s="54">
        <v>767</v>
      </c>
      <c r="H768" s="94">
        <v>5767866.032496376</v>
      </c>
    </row>
    <row r="769" spans="1:8" x14ac:dyDescent="0.3">
      <c r="A769" s="54">
        <v>768</v>
      </c>
      <c r="B769" s="12">
        <v>3414599.8028841312</v>
      </c>
      <c r="G769" s="54">
        <v>768</v>
      </c>
      <c r="H769" s="94">
        <v>5867705.5406301394</v>
      </c>
    </row>
    <row r="770" spans="1:8" x14ac:dyDescent="0.3">
      <c r="A770" s="54">
        <v>769</v>
      </c>
      <c r="B770" s="12">
        <v>3550483.6367350207</v>
      </c>
      <c r="G770" s="54">
        <v>769</v>
      </c>
      <c r="H770" s="94">
        <v>5824645.1931791343</v>
      </c>
    </row>
    <row r="771" spans="1:8" x14ac:dyDescent="0.3">
      <c r="A771" s="54">
        <v>770</v>
      </c>
      <c r="B771" s="12">
        <v>3647617.9998535095</v>
      </c>
      <c r="G771" s="54">
        <v>770</v>
      </c>
      <c r="H771" s="94">
        <v>5895170.4346381966</v>
      </c>
    </row>
    <row r="772" spans="1:8" x14ac:dyDescent="0.3">
      <c r="A772" s="54">
        <v>771</v>
      </c>
      <c r="B772" s="12">
        <v>3544062.6142213279</v>
      </c>
      <c r="G772" s="54">
        <v>771</v>
      </c>
      <c r="H772" s="94">
        <v>5875806.3599397708</v>
      </c>
    </row>
    <row r="773" spans="1:8" x14ac:dyDescent="0.3">
      <c r="A773" s="54">
        <v>772</v>
      </c>
      <c r="B773" s="12">
        <v>3389099.7344224695</v>
      </c>
      <c r="G773" s="54">
        <v>772</v>
      </c>
      <c r="H773" s="94">
        <v>5837878.4276516596</v>
      </c>
    </row>
    <row r="774" spans="1:8" x14ac:dyDescent="0.3">
      <c r="A774" s="54">
        <v>773</v>
      </c>
      <c r="B774" s="12">
        <v>3551243.5217553284</v>
      </c>
      <c r="G774" s="54">
        <v>773</v>
      </c>
      <c r="H774" s="94">
        <v>5867042.0563942567</v>
      </c>
    </row>
    <row r="775" spans="1:8" x14ac:dyDescent="0.3">
      <c r="A775" s="54">
        <v>774</v>
      </c>
      <c r="B775" s="12">
        <v>3495659.7154056076</v>
      </c>
      <c r="G775" s="54">
        <v>774</v>
      </c>
      <c r="H775" s="94">
        <v>5810875.2311643548</v>
      </c>
    </row>
    <row r="776" spans="1:8" x14ac:dyDescent="0.3">
      <c r="A776" s="54">
        <v>775</v>
      </c>
      <c r="B776" s="12">
        <v>3573288.0805831552</v>
      </c>
      <c r="G776" s="54">
        <v>775</v>
      </c>
      <c r="H776" s="94">
        <v>5772429.8529389231</v>
      </c>
    </row>
    <row r="777" spans="1:8" x14ac:dyDescent="0.3">
      <c r="A777" s="54">
        <v>776</v>
      </c>
      <c r="B777" s="12">
        <v>3632042.224105272</v>
      </c>
      <c r="G777" s="54">
        <v>776</v>
      </c>
      <c r="H777" s="94">
        <v>5874394.2626322722</v>
      </c>
    </row>
    <row r="778" spans="1:8" x14ac:dyDescent="0.3">
      <c r="A778" s="54">
        <v>777</v>
      </c>
      <c r="B778" s="12">
        <v>3541177.7779900013</v>
      </c>
      <c r="G778" s="54">
        <v>777</v>
      </c>
      <c r="H778" s="94">
        <v>5903063.4279814782</v>
      </c>
    </row>
    <row r="779" spans="1:8" x14ac:dyDescent="0.3">
      <c r="A779" s="54">
        <v>778</v>
      </c>
      <c r="B779" s="12">
        <v>3457421.0676941476</v>
      </c>
      <c r="G779" s="54">
        <v>778</v>
      </c>
      <c r="H779" s="94">
        <v>5850884.5904107252</v>
      </c>
    </row>
    <row r="780" spans="1:8" x14ac:dyDescent="0.3">
      <c r="A780" s="54">
        <v>779</v>
      </c>
      <c r="B780" s="12">
        <v>3520467.5208342802</v>
      </c>
      <c r="G780" s="54">
        <v>779</v>
      </c>
      <c r="H780" s="94">
        <v>5833846.4448700454</v>
      </c>
    </row>
    <row r="781" spans="1:8" x14ac:dyDescent="0.3">
      <c r="A781" s="54">
        <v>780</v>
      </c>
      <c r="B781" s="12">
        <v>3481761.2935261456</v>
      </c>
      <c r="G781" s="54">
        <v>780</v>
      </c>
      <c r="H781" s="94">
        <v>5956214.0536173414</v>
      </c>
    </row>
    <row r="782" spans="1:8" x14ac:dyDescent="0.3">
      <c r="A782" s="54">
        <v>781</v>
      </c>
      <c r="B782" s="12">
        <v>3634874.7244749041</v>
      </c>
      <c r="G782" s="54">
        <v>781</v>
      </c>
      <c r="H782" s="94">
        <v>5897256.6718107238</v>
      </c>
    </row>
    <row r="783" spans="1:8" x14ac:dyDescent="0.3">
      <c r="A783" s="54">
        <v>782</v>
      </c>
      <c r="B783" s="12">
        <v>3664841.8804574618</v>
      </c>
      <c r="G783" s="54">
        <v>782</v>
      </c>
      <c r="H783" s="94">
        <v>5839428.2710766904</v>
      </c>
    </row>
    <row r="784" spans="1:8" x14ac:dyDescent="0.3">
      <c r="A784" s="54">
        <v>783</v>
      </c>
      <c r="B784" s="12">
        <v>3336043.8293417725</v>
      </c>
      <c r="G784" s="54">
        <v>783</v>
      </c>
      <c r="H784" s="94">
        <v>5904492.3524967078</v>
      </c>
    </row>
    <row r="785" spans="1:8" x14ac:dyDescent="0.3">
      <c r="A785" s="54">
        <v>784</v>
      </c>
      <c r="B785" s="12">
        <v>3341605.7855934836</v>
      </c>
      <c r="G785" s="54">
        <v>784</v>
      </c>
      <c r="H785" s="94">
        <v>5856788.3552236632</v>
      </c>
    </row>
    <row r="786" spans="1:8" x14ac:dyDescent="0.3">
      <c r="A786" s="54">
        <v>785</v>
      </c>
      <c r="B786" s="12">
        <v>3387363.0034275413</v>
      </c>
      <c r="G786" s="54">
        <v>785</v>
      </c>
      <c r="H786" s="94">
        <v>5858719.1729412144</v>
      </c>
    </row>
    <row r="787" spans="1:8" x14ac:dyDescent="0.3">
      <c r="A787" s="54">
        <v>786</v>
      </c>
      <c r="B787" s="12">
        <v>3313938.3260232648</v>
      </c>
      <c r="G787" s="54">
        <v>786</v>
      </c>
      <c r="H787" s="94">
        <v>5801126.1196367862</v>
      </c>
    </row>
    <row r="788" spans="1:8" x14ac:dyDescent="0.3">
      <c r="A788" s="54">
        <v>787</v>
      </c>
      <c r="B788" s="12">
        <v>3340334.0997488145</v>
      </c>
      <c r="G788" s="54">
        <v>787</v>
      </c>
      <c r="H788" s="94">
        <v>5820834.0940186046</v>
      </c>
    </row>
    <row r="789" spans="1:8" x14ac:dyDescent="0.3">
      <c r="A789" s="54">
        <v>788</v>
      </c>
      <c r="B789" s="12">
        <v>3667196.5800962895</v>
      </c>
      <c r="G789" s="54">
        <v>788</v>
      </c>
      <c r="H789" s="94">
        <v>5889482.2549367491</v>
      </c>
    </row>
    <row r="790" spans="1:8" x14ac:dyDescent="0.3">
      <c r="A790" s="54">
        <v>789</v>
      </c>
      <c r="B790" s="12">
        <v>3281022.6946028979</v>
      </c>
      <c r="G790" s="54">
        <v>789</v>
      </c>
      <c r="H790" s="94">
        <v>5790252.0221722964</v>
      </c>
    </row>
    <row r="791" spans="1:8" x14ac:dyDescent="0.3">
      <c r="A791" s="54">
        <v>790</v>
      </c>
      <c r="B791" s="12">
        <v>3400988.396997585</v>
      </c>
      <c r="G791" s="54">
        <v>790</v>
      </c>
      <c r="H791" s="94">
        <v>5941024.0248097908</v>
      </c>
    </row>
    <row r="792" spans="1:8" x14ac:dyDescent="0.3">
      <c r="A792" s="54">
        <v>791</v>
      </c>
      <c r="B792" s="12">
        <v>3444743.5267530489</v>
      </c>
      <c r="G792" s="54">
        <v>791</v>
      </c>
      <c r="H792" s="94">
        <v>5825100.3073905138</v>
      </c>
    </row>
    <row r="793" spans="1:8" x14ac:dyDescent="0.3">
      <c r="A793" s="54">
        <v>792</v>
      </c>
      <c r="B793" s="12">
        <v>3482685.9707551594</v>
      </c>
      <c r="G793" s="54">
        <v>792</v>
      </c>
      <c r="H793" s="94">
        <v>5913852.6217864295</v>
      </c>
    </row>
    <row r="794" spans="1:8" x14ac:dyDescent="0.3">
      <c r="A794" s="54">
        <v>793</v>
      </c>
      <c r="B794" s="12">
        <v>3363865.17237214</v>
      </c>
      <c r="G794" s="54">
        <v>793</v>
      </c>
      <c r="H794" s="94">
        <v>5819586.5820186501</v>
      </c>
    </row>
    <row r="795" spans="1:8" x14ac:dyDescent="0.3">
      <c r="A795" s="54">
        <v>794</v>
      </c>
      <c r="B795" s="12">
        <v>3423278.8327040081</v>
      </c>
      <c r="G795" s="54">
        <v>794</v>
      </c>
      <c r="H795" s="94">
        <v>5882743.3081993582</v>
      </c>
    </row>
    <row r="796" spans="1:8" x14ac:dyDescent="0.3">
      <c r="A796" s="54">
        <v>795</v>
      </c>
      <c r="B796" s="12">
        <v>3546553.4389386559</v>
      </c>
      <c r="G796" s="54">
        <v>795</v>
      </c>
      <c r="H796" s="94">
        <v>5944447.4445777684</v>
      </c>
    </row>
    <row r="797" spans="1:8" x14ac:dyDescent="0.3">
      <c r="A797" s="54">
        <v>796</v>
      </c>
      <c r="B797" s="12">
        <v>3440162.3106401372</v>
      </c>
      <c r="G797" s="54">
        <v>796</v>
      </c>
      <c r="H797" s="94">
        <v>5883954.9139630245</v>
      </c>
    </row>
    <row r="798" spans="1:8" x14ac:dyDescent="0.3">
      <c r="A798" s="54">
        <v>797</v>
      </c>
      <c r="B798" s="12">
        <v>3708187.22881673</v>
      </c>
      <c r="G798" s="54">
        <v>797</v>
      </c>
      <c r="H798" s="94">
        <v>5850068.6915888898</v>
      </c>
    </row>
    <row r="799" spans="1:8" x14ac:dyDescent="0.3">
      <c r="A799" s="54">
        <v>798</v>
      </c>
      <c r="B799" s="12">
        <v>3437770.1659399224</v>
      </c>
      <c r="G799" s="54">
        <v>798</v>
      </c>
      <c r="H799" s="94">
        <v>5859723.9285935173</v>
      </c>
    </row>
    <row r="800" spans="1:8" x14ac:dyDescent="0.3">
      <c r="A800" s="54">
        <v>799</v>
      </c>
      <c r="B800" s="12">
        <v>3592403.5692564705</v>
      </c>
      <c r="G800" s="54">
        <v>799</v>
      </c>
      <c r="H800" s="94">
        <v>5814426.8518452561</v>
      </c>
    </row>
    <row r="801" spans="1:8" x14ac:dyDescent="0.3">
      <c r="A801" s="54">
        <v>800</v>
      </c>
      <c r="B801" s="12">
        <v>3727354.9420556445</v>
      </c>
      <c r="G801" s="54">
        <v>800</v>
      </c>
      <c r="H801" s="94">
        <v>5899424.6588013982</v>
      </c>
    </row>
    <row r="802" spans="1:8" x14ac:dyDescent="0.3">
      <c r="A802" s="54">
        <v>801</v>
      </c>
      <c r="B802" s="12">
        <v>3220558.2158503416</v>
      </c>
      <c r="G802" s="54">
        <v>801</v>
      </c>
      <c r="H802" s="94">
        <v>5805103.3939271299</v>
      </c>
    </row>
    <row r="803" spans="1:8" x14ac:dyDescent="0.3">
      <c r="A803" s="54">
        <v>802</v>
      </c>
      <c r="B803" s="12">
        <v>3403832.0778883197</v>
      </c>
      <c r="G803" s="54">
        <v>802</v>
      </c>
      <c r="H803" s="94">
        <v>5932384.2394970693</v>
      </c>
    </row>
    <row r="804" spans="1:8" x14ac:dyDescent="0.3">
      <c r="A804" s="54">
        <v>803</v>
      </c>
      <c r="B804" s="12">
        <v>3697152.4321189141</v>
      </c>
      <c r="G804" s="54">
        <v>803</v>
      </c>
      <c r="H804" s="94">
        <v>5908877.4674382387</v>
      </c>
    </row>
    <row r="805" spans="1:8" x14ac:dyDescent="0.3">
      <c r="A805" s="54">
        <v>804</v>
      </c>
      <c r="B805" s="12">
        <v>3389472.466366136</v>
      </c>
      <c r="G805" s="54">
        <v>804</v>
      </c>
      <c r="H805" s="94">
        <v>5699150.3225435168</v>
      </c>
    </row>
    <row r="806" spans="1:8" x14ac:dyDescent="0.3">
      <c r="A806" s="54">
        <v>805</v>
      </c>
      <c r="B806" s="12">
        <v>3264799.9574077372</v>
      </c>
      <c r="G806" s="54">
        <v>805</v>
      </c>
      <c r="H806" s="94">
        <v>5883052.1137623936</v>
      </c>
    </row>
    <row r="807" spans="1:8" x14ac:dyDescent="0.3">
      <c r="A807" s="54">
        <v>806</v>
      </c>
      <c r="B807" s="12">
        <v>3288170.3537423229</v>
      </c>
      <c r="G807" s="54">
        <v>806</v>
      </c>
      <c r="H807" s="94">
        <v>5849506.0417666258</v>
      </c>
    </row>
    <row r="808" spans="1:8" x14ac:dyDescent="0.3">
      <c r="A808" s="54">
        <v>807</v>
      </c>
      <c r="B808" s="12">
        <v>3580067.2937670089</v>
      </c>
      <c r="G808" s="54">
        <v>807</v>
      </c>
      <c r="H808" s="94">
        <v>5810425.9997655433</v>
      </c>
    </row>
    <row r="809" spans="1:8" x14ac:dyDescent="0.3">
      <c r="A809" s="54">
        <v>808</v>
      </c>
      <c r="B809" s="12">
        <v>3143253.345650719</v>
      </c>
      <c r="G809" s="54">
        <v>808</v>
      </c>
      <c r="H809" s="94">
        <v>5772010.6316210628</v>
      </c>
    </row>
    <row r="810" spans="1:8" x14ac:dyDescent="0.3">
      <c r="A810" s="54">
        <v>809</v>
      </c>
      <c r="B810" s="12">
        <v>3362024.9952056217</v>
      </c>
      <c r="G810" s="54">
        <v>809</v>
      </c>
      <c r="H810" s="94">
        <v>5874197.6810810221</v>
      </c>
    </row>
    <row r="811" spans="1:8" x14ac:dyDescent="0.3">
      <c r="A811" s="54">
        <v>810</v>
      </c>
      <c r="B811" s="12">
        <v>3538505.4186096787</v>
      </c>
      <c r="G811" s="54">
        <v>810</v>
      </c>
      <c r="H811" s="94">
        <v>5881702.3539560027</v>
      </c>
    </row>
    <row r="812" spans="1:8" x14ac:dyDescent="0.3">
      <c r="A812" s="54">
        <v>811</v>
      </c>
      <c r="B812" s="12">
        <v>3331945.4393717567</v>
      </c>
      <c r="G812" s="54">
        <v>811</v>
      </c>
      <c r="H812" s="94">
        <v>5810605.2175626745</v>
      </c>
    </row>
    <row r="813" spans="1:8" x14ac:dyDescent="0.3">
      <c r="A813" s="54">
        <v>812</v>
      </c>
      <c r="B813" s="12">
        <v>3393247.999960246</v>
      </c>
      <c r="G813" s="54">
        <v>812</v>
      </c>
      <c r="H813" s="94">
        <v>5742567.6036781352</v>
      </c>
    </row>
    <row r="814" spans="1:8" x14ac:dyDescent="0.3">
      <c r="A814" s="54">
        <v>813</v>
      </c>
      <c r="B814" s="12">
        <v>3637896.5951447869</v>
      </c>
      <c r="G814" s="54">
        <v>813</v>
      </c>
      <c r="H814" s="94">
        <v>5988776.7550261691</v>
      </c>
    </row>
    <row r="815" spans="1:8" x14ac:dyDescent="0.3">
      <c r="A815" s="54">
        <v>814</v>
      </c>
      <c r="B815" s="12">
        <v>3476158.5080484026</v>
      </c>
      <c r="G815" s="54">
        <v>814</v>
      </c>
      <c r="H815" s="94">
        <v>5908251.3209531466</v>
      </c>
    </row>
    <row r="816" spans="1:8" x14ac:dyDescent="0.3">
      <c r="A816" s="54">
        <v>815</v>
      </c>
      <c r="B816" s="12">
        <v>3537463.1145758918</v>
      </c>
      <c r="G816" s="54">
        <v>815</v>
      </c>
      <c r="H816" s="94">
        <v>5763141.7400718359</v>
      </c>
    </row>
    <row r="817" spans="1:8" x14ac:dyDescent="0.3">
      <c r="A817" s="54">
        <v>816</v>
      </c>
      <c r="B817" s="12">
        <v>3397642.4265121589</v>
      </c>
      <c r="G817" s="54">
        <v>816</v>
      </c>
      <c r="H817" s="94">
        <v>5838286.8250275329</v>
      </c>
    </row>
    <row r="818" spans="1:8" x14ac:dyDescent="0.3">
      <c r="A818" s="54">
        <v>817</v>
      </c>
      <c r="B818" s="12">
        <v>3516675.7892535292</v>
      </c>
      <c r="G818" s="54">
        <v>817</v>
      </c>
      <c r="H818" s="94">
        <v>5906816.8691439591</v>
      </c>
    </row>
    <row r="819" spans="1:8" x14ac:dyDescent="0.3">
      <c r="A819" s="54">
        <v>818</v>
      </c>
      <c r="B819" s="12">
        <v>3371628.153952199</v>
      </c>
      <c r="G819" s="54">
        <v>818</v>
      </c>
      <c r="H819" s="94">
        <v>6009704.0212878734</v>
      </c>
    </row>
    <row r="820" spans="1:8" x14ac:dyDescent="0.3">
      <c r="A820" s="54">
        <v>819</v>
      </c>
      <c r="B820" s="12">
        <v>3332498.6925486275</v>
      </c>
      <c r="G820" s="54">
        <v>819</v>
      </c>
      <c r="H820" s="94">
        <v>5926157.1158248447</v>
      </c>
    </row>
    <row r="821" spans="1:8" x14ac:dyDescent="0.3">
      <c r="A821" s="54">
        <v>820</v>
      </c>
      <c r="B821" s="12">
        <v>3614087.2694653887</v>
      </c>
      <c r="G821" s="54">
        <v>820</v>
      </c>
      <c r="H821" s="94">
        <v>5848952.4591096267</v>
      </c>
    </row>
    <row r="822" spans="1:8" x14ac:dyDescent="0.3">
      <c r="A822" s="54">
        <v>821</v>
      </c>
      <c r="B822" s="12">
        <v>3417223.3134763832</v>
      </c>
      <c r="G822" s="54">
        <v>821</v>
      </c>
      <c r="H822" s="94">
        <v>5795889.0749796079</v>
      </c>
    </row>
    <row r="823" spans="1:8" x14ac:dyDescent="0.3">
      <c r="A823" s="54">
        <v>822</v>
      </c>
      <c r="B823" s="12">
        <v>3468280.1875516479</v>
      </c>
      <c r="G823" s="54">
        <v>822</v>
      </c>
      <c r="H823" s="94">
        <v>5813962.706225805</v>
      </c>
    </row>
    <row r="824" spans="1:8" x14ac:dyDescent="0.3">
      <c r="A824" s="54">
        <v>823</v>
      </c>
      <c r="B824" s="12">
        <v>3332092.2458220478</v>
      </c>
      <c r="G824" s="54">
        <v>823</v>
      </c>
      <c r="H824" s="94">
        <v>6012919.0501259891</v>
      </c>
    </row>
    <row r="825" spans="1:8" x14ac:dyDescent="0.3">
      <c r="A825" s="54">
        <v>824</v>
      </c>
      <c r="B825" s="12">
        <v>3735604.1160233286</v>
      </c>
      <c r="G825" s="54">
        <v>824</v>
      </c>
      <c r="H825" s="94">
        <v>5735468.2830749201</v>
      </c>
    </row>
    <row r="826" spans="1:8" x14ac:dyDescent="0.3">
      <c r="A826" s="54">
        <v>825</v>
      </c>
      <c r="B826" s="12">
        <v>3409193.1498973346</v>
      </c>
      <c r="G826" s="54">
        <v>825</v>
      </c>
      <c r="H826" s="94">
        <v>5801393.5323933959</v>
      </c>
    </row>
    <row r="827" spans="1:8" x14ac:dyDescent="0.3">
      <c r="A827" s="54">
        <v>826</v>
      </c>
      <c r="B827" s="12">
        <v>3533022.3845995143</v>
      </c>
      <c r="G827" s="54">
        <v>826</v>
      </c>
      <c r="H827" s="94">
        <v>5818823.821952627</v>
      </c>
    </row>
    <row r="828" spans="1:8" x14ac:dyDescent="0.3">
      <c r="A828" s="54">
        <v>827</v>
      </c>
      <c r="B828" s="12">
        <v>3379467.216381242</v>
      </c>
      <c r="G828" s="54">
        <v>827</v>
      </c>
      <c r="H828" s="94">
        <v>5809526.8662023293</v>
      </c>
    </row>
    <row r="829" spans="1:8" x14ac:dyDescent="0.3">
      <c r="A829" s="54">
        <v>828</v>
      </c>
      <c r="B829" s="12">
        <v>3545372.1782837505</v>
      </c>
      <c r="G829" s="54">
        <v>828</v>
      </c>
      <c r="H829" s="94">
        <v>5800155.5161058651</v>
      </c>
    </row>
    <row r="830" spans="1:8" x14ac:dyDescent="0.3">
      <c r="A830" s="54">
        <v>829</v>
      </c>
      <c r="B830" s="12">
        <v>3664823.1843040856</v>
      </c>
      <c r="G830" s="54">
        <v>829</v>
      </c>
      <c r="H830" s="94">
        <v>6025816.888385213</v>
      </c>
    </row>
    <row r="831" spans="1:8" x14ac:dyDescent="0.3">
      <c r="A831" s="54">
        <v>830</v>
      </c>
      <c r="B831" s="12">
        <v>3373158.0773736211</v>
      </c>
      <c r="G831" s="54">
        <v>830</v>
      </c>
      <c r="H831" s="94">
        <v>5893889.1165776243</v>
      </c>
    </row>
    <row r="832" spans="1:8" x14ac:dyDescent="0.3">
      <c r="A832" s="54">
        <v>831</v>
      </c>
      <c r="B832" s="12">
        <v>3592160.7059446238</v>
      </c>
      <c r="G832" s="54">
        <v>831</v>
      </c>
      <c r="H832" s="94">
        <v>5888737.1103904257</v>
      </c>
    </row>
    <row r="833" spans="1:8" x14ac:dyDescent="0.3">
      <c r="A833" s="54">
        <v>832</v>
      </c>
      <c r="B833" s="12">
        <v>3678743.0751215066</v>
      </c>
      <c r="G833" s="54">
        <v>832</v>
      </c>
      <c r="H833" s="94">
        <v>5811602.2100033276</v>
      </c>
    </row>
    <row r="834" spans="1:8" x14ac:dyDescent="0.3">
      <c r="A834" s="54">
        <v>833</v>
      </c>
      <c r="B834" s="12">
        <v>3364736.8130953256</v>
      </c>
      <c r="G834" s="54">
        <v>833</v>
      </c>
      <c r="H834" s="94">
        <v>5889595.199364732</v>
      </c>
    </row>
    <row r="835" spans="1:8" x14ac:dyDescent="0.3">
      <c r="A835" s="54">
        <v>834</v>
      </c>
      <c r="B835" s="12">
        <v>3242898.6287015253</v>
      </c>
      <c r="G835" s="54">
        <v>834</v>
      </c>
      <c r="H835" s="94">
        <v>5836533.150196231</v>
      </c>
    </row>
    <row r="836" spans="1:8" x14ac:dyDescent="0.3">
      <c r="A836" s="54">
        <v>835</v>
      </c>
      <c r="B836" s="12">
        <v>3279559.8864352419</v>
      </c>
      <c r="G836" s="54">
        <v>835</v>
      </c>
      <c r="H836" s="94">
        <v>5894180.8696838748</v>
      </c>
    </row>
    <row r="837" spans="1:8" x14ac:dyDescent="0.3">
      <c r="A837" s="54">
        <v>836</v>
      </c>
      <c r="B837" s="12">
        <v>3378454.7820795886</v>
      </c>
      <c r="G837" s="54">
        <v>836</v>
      </c>
      <c r="H837" s="94">
        <v>5855543.2390180947</v>
      </c>
    </row>
    <row r="838" spans="1:8" x14ac:dyDescent="0.3">
      <c r="A838" s="54">
        <v>837</v>
      </c>
      <c r="B838" s="12">
        <v>3520091.3662572592</v>
      </c>
      <c r="G838" s="54">
        <v>837</v>
      </c>
      <c r="H838" s="94">
        <v>5788809.4859738331</v>
      </c>
    </row>
    <row r="839" spans="1:8" x14ac:dyDescent="0.3">
      <c r="A839" s="54">
        <v>838</v>
      </c>
      <c r="B839" s="12">
        <v>3603350.6500881808</v>
      </c>
      <c r="G839" s="54">
        <v>838</v>
      </c>
      <c r="H839" s="94">
        <v>5880608.5768268723</v>
      </c>
    </row>
    <row r="840" spans="1:8" x14ac:dyDescent="0.3">
      <c r="A840" s="54">
        <v>839</v>
      </c>
      <c r="B840" s="12">
        <v>3480281.3305578022</v>
      </c>
      <c r="G840" s="54">
        <v>839</v>
      </c>
      <c r="H840" s="94">
        <v>5861882.5469026715</v>
      </c>
    </row>
    <row r="841" spans="1:8" x14ac:dyDescent="0.3">
      <c r="A841" s="54">
        <v>840</v>
      </c>
      <c r="B841" s="12">
        <v>3300590.3156710775</v>
      </c>
      <c r="G841" s="54">
        <v>840</v>
      </c>
      <c r="H841" s="94">
        <v>5878480.5195321077</v>
      </c>
    </row>
    <row r="842" spans="1:8" x14ac:dyDescent="0.3">
      <c r="A842" s="54">
        <v>841</v>
      </c>
      <c r="B842" s="12">
        <v>3186028.5470445319</v>
      </c>
      <c r="G842" s="54">
        <v>841</v>
      </c>
      <c r="H842" s="94">
        <v>5883678.3868476935</v>
      </c>
    </row>
    <row r="843" spans="1:8" x14ac:dyDescent="0.3">
      <c r="A843" s="54">
        <v>842</v>
      </c>
      <c r="B843" s="12">
        <v>3325109.0310326894</v>
      </c>
      <c r="G843" s="54">
        <v>842</v>
      </c>
      <c r="H843" s="94">
        <v>5918686.8242219668</v>
      </c>
    </row>
    <row r="844" spans="1:8" x14ac:dyDescent="0.3">
      <c r="A844" s="54">
        <v>843</v>
      </c>
      <c r="B844" s="12">
        <v>3304590.5125182271</v>
      </c>
      <c r="G844" s="54">
        <v>843</v>
      </c>
      <c r="H844" s="94">
        <v>5985207.3781337934</v>
      </c>
    </row>
    <row r="845" spans="1:8" x14ac:dyDescent="0.3">
      <c r="A845" s="54">
        <v>844</v>
      </c>
      <c r="B845" s="12">
        <v>3829345.5918511534</v>
      </c>
      <c r="G845" s="54">
        <v>844</v>
      </c>
      <c r="H845" s="94">
        <v>5931799.5682915645</v>
      </c>
    </row>
    <row r="846" spans="1:8" x14ac:dyDescent="0.3">
      <c r="A846" s="54">
        <v>845</v>
      </c>
      <c r="B846" s="12">
        <v>3465541.4768633586</v>
      </c>
      <c r="G846" s="54">
        <v>845</v>
      </c>
      <c r="H846" s="94">
        <v>5944862.6475739563</v>
      </c>
    </row>
    <row r="847" spans="1:8" x14ac:dyDescent="0.3">
      <c r="A847" s="54">
        <v>846</v>
      </c>
      <c r="B847" s="12">
        <v>3417453.9550496847</v>
      </c>
      <c r="G847" s="54">
        <v>846</v>
      </c>
      <c r="H847" s="94">
        <v>5973875.5792471357</v>
      </c>
    </row>
    <row r="848" spans="1:8" x14ac:dyDescent="0.3">
      <c r="A848" s="54">
        <v>847</v>
      </c>
      <c r="B848" s="12">
        <v>3247156.0983246583</v>
      </c>
      <c r="G848" s="54">
        <v>847</v>
      </c>
      <c r="H848" s="94">
        <v>5858907.7693091296</v>
      </c>
    </row>
    <row r="849" spans="1:8" x14ac:dyDescent="0.3">
      <c r="A849" s="54">
        <v>848</v>
      </c>
      <c r="B849" s="12">
        <v>3402949.6742431042</v>
      </c>
      <c r="G849" s="54">
        <v>848</v>
      </c>
      <c r="H849" s="94">
        <v>5897717.5506823473</v>
      </c>
    </row>
    <row r="850" spans="1:8" x14ac:dyDescent="0.3">
      <c r="A850" s="54">
        <v>849</v>
      </c>
      <c r="B850" s="12">
        <v>3443236.4019352342</v>
      </c>
      <c r="G850" s="54">
        <v>849</v>
      </c>
      <c r="H850" s="94">
        <v>5869397.922683415</v>
      </c>
    </row>
    <row r="851" spans="1:8" x14ac:dyDescent="0.3">
      <c r="A851" s="54">
        <v>850</v>
      </c>
      <c r="B851" s="12">
        <v>3497893.9531186549</v>
      </c>
      <c r="G851" s="54">
        <v>850</v>
      </c>
      <c r="H851" s="94">
        <v>5920990.8473906135</v>
      </c>
    </row>
    <row r="852" spans="1:8" x14ac:dyDescent="0.3">
      <c r="A852" s="54">
        <v>851</v>
      </c>
      <c r="B852" s="12">
        <v>3573527.1227916917</v>
      </c>
      <c r="G852" s="54">
        <v>851</v>
      </c>
      <c r="H852" s="94">
        <v>5802093.9554368844</v>
      </c>
    </row>
    <row r="853" spans="1:8" x14ac:dyDescent="0.3">
      <c r="A853" s="54">
        <v>852</v>
      </c>
      <c r="B853" s="12">
        <v>3324365.9606618369</v>
      </c>
      <c r="G853" s="54">
        <v>852</v>
      </c>
      <c r="H853" s="94">
        <v>5865380.1192870401</v>
      </c>
    </row>
    <row r="854" spans="1:8" x14ac:dyDescent="0.3">
      <c r="A854" s="54">
        <v>853</v>
      </c>
      <c r="B854" s="12">
        <v>3465398.4021746307</v>
      </c>
      <c r="G854" s="54">
        <v>853</v>
      </c>
      <c r="H854" s="94">
        <v>5842129.5154836727</v>
      </c>
    </row>
    <row r="855" spans="1:8" x14ac:dyDescent="0.3">
      <c r="A855" s="54">
        <v>854</v>
      </c>
      <c r="B855" s="12">
        <v>3750514.7176827486</v>
      </c>
      <c r="G855" s="54">
        <v>854</v>
      </c>
      <c r="H855" s="94">
        <v>5841625.2489835452</v>
      </c>
    </row>
    <row r="856" spans="1:8" x14ac:dyDescent="0.3">
      <c r="A856" s="54">
        <v>855</v>
      </c>
      <c r="B856" s="12">
        <v>3624815.2404709538</v>
      </c>
      <c r="G856" s="54">
        <v>855</v>
      </c>
      <c r="H856" s="94">
        <v>5988147.5236936323</v>
      </c>
    </row>
    <row r="857" spans="1:8" x14ac:dyDescent="0.3">
      <c r="A857" s="54">
        <v>856</v>
      </c>
      <c r="B857" s="12">
        <v>3444439.3817386157</v>
      </c>
      <c r="G857" s="54">
        <v>856</v>
      </c>
      <c r="H857" s="94">
        <v>5931778.7543888111</v>
      </c>
    </row>
    <row r="858" spans="1:8" x14ac:dyDescent="0.3">
      <c r="A858" s="54">
        <v>857</v>
      </c>
      <c r="B858" s="12">
        <v>3273508.0955208708</v>
      </c>
      <c r="G858" s="54">
        <v>857</v>
      </c>
      <c r="H858" s="94">
        <v>5763047.6268426375</v>
      </c>
    </row>
    <row r="859" spans="1:8" x14ac:dyDescent="0.3">
      <c r="A859" s="54">
        <v>858</v>
      </c>
      <c r="B859" s="12">
        <v>3495412.8674890539</v>
      </c>
      <c r="G859" s="54">
        <v>858</v>
      </c>
      <c r="H859" s="94">
        <v>5966454.1126895631</v>
      </c>
    </row>
    <row r="860" spans="1:8" x14ac:dyDescent="0.3">
      <c r="A860" s="54">
        <v>859</v>
      </c>
      <c r="B860" s="12">
        <v>3532539.1214735853</v>
      </c>
      <c r="G860" s="54">
        <v>859</v>
      </c>
      <c r="H860" s="94">
        <v>5897480.9037148245</v>
      </c>
    </row>
    <row r="861" spans="1:8" x14ac:dyDescent="0.3">
      <c r="A861" s="54">
        <v>860</v>
      </c>
      <c r="B861" s="12">
        <v>3581005.1189827328</v>
      </c>
      <c r="G861" s="54">
        <v>860</v>
      </c>
      <c r="H861" s="94">
        <v>5834285.9297326263</v>
      </c>
    </row>
    <row r="862" spans="1:8" x14ac:dyDescent="0.3">
      <c r="A862" s="54">
        <v>861</v>
      </c>
      <c r="B862" s="12">
        <v>3535695.3219035254</v>
      </c>
      <c r="G862" s="54">
        <v>861</v>
      </c>
      <c r="H862" s="94">
        <v>5859128.4903522795</v>
      </c>
    </row>
    <row r="863" spans="1:8" x14ac:dyDescent="0.3">
      <c r="A863" s="54">
        <v>862</v>
      </c>
      <c r="B863" s="12">
        <v>3407764.4680474484</v>
      </c>
      <c r="G863" s="54">
        <v>862</v>
      </c>
      <c r="H863" s="94">
        <v>5920732.8451209106</v>
      </c>
    </row>
    <row r="864" spans="1:8" x14ac:dyDescent="0.3">
      <c r="A864" s="54">
        <v>863</v>
      </c>
      <c r="B864" s="12">
        <v>3247574.416117047</v>
      </c>
      <c r="G864" s="54">
        <v>863</v>
      </c>
      <c r="H864" s="94">
        <v>5994001.0538338469</v>
      </c>
    </row>
    <row r="865" spans="1:8" x14ac:dyDescent="0.3">
      <c r="A865" s="54">
        <v>864</v>
      </c>
      <c r="B865" s="12">
        <v>3415011.3064856445</v>
      </c>
      <c r="G865" s="54">
        <v>864</v>
      </c>
      <c r="H865" s="94">
        <v>5979267.8349412214</v>
      </c>
    </row>
    <row r="866" spans="1:8" x14ac:dyDescent="0.3">
      <c r="A866" s="54">
        <v>865</v>
      </c>
      <c r="B866" s="12">
        <v>3429897.4151361566</v>
      </c>
      <c r="G866" s="54">
        <v>865</v>
      </c>
      <c r="H866" s="94">
        <v>5886336.3522680756</v>
      </c>
    </row>
    <row r="867" spans="1:8" x14ac:dyDescent="0.3">
      <c r="A867" s="54">
        <v>866</v>
      </c>
      <c r="B867" s="12">
        <v>3576538.2170823165</v>
      </c>
      <c r="G867" s="54">
        <v>866</v>
      </c>
      <c r="H867" s="94">
        <v>5794029.9328481359</v>
      </c>
    </row>
    <row r="868" spans="1:8" x14ac:dyDescent="0.3">
      <c r="A868" s="54">
        <v>867</v>
      </c>
      <c r="B868" s="12">
        <v>3427974.9743705085</v>
      </c>
      <c r="G868" s="54">
        <v>867</v>
      </c>
      <c r="H868" s="94">
        <v>5789907.4675551346</v>
      </c>
    </row>
    <row r="869" spans="1:8" x14ac:dyDescent="0.3">
      <c r="A869" s="54">
        <v>868</v>
      </c>
      <c r="B869" s="12">
        <v>3132025.9761949633</v>
      </c>
      <c r="G869" s="54">
        <v>868</v>
      </c>
      <c r="H869" s="94">
        <v>5816520.929451569</v>
      </c>
    </row>
    <row r="870" spans="1:8" x14ac:dyDescent="0.3">
      <c r="A870" s="54">
        <v>869</v>
      </c>
      <c r="B870" s="12">
        <v>3268088.0281523559</v>
      </c>
      <c r="G870" s="54">
        <v>869</v>
      </c>
      <c r="H870" s="94">
        <v>5761503.7304712646</v>
      </c>
    </row>
    <row r="871" spans="1:8" x14ac:dyDescent="0.3">
      <c r="A871" s="54">
        <v>870</v>
      </c>
      <c r="B871" s="12">
        <v>3345076.5699477955</v>
      </c>
      <c r="G871" s="54">
        <v>870</v>
      </c>
      <c r="H871" s="94">
        <v>5895677.6668413421</v>
      </c>
    </row>
    <row r="872" spans="1:8" x14ac:dyDescent="0.3">
      <c r="A872" s="54">
        <v>871</v>
      </c>
      <c r="B872" s="12">
        <v>3512007.2420723578</v>
      </c>
      <c r="G872" s="54">
        <v>871</v>
      </c>
      <c r="H872" s="94">
        <v>5867192.1913475376</v>
      </c>
    </row>
    <row r="873" spans="1:8" x14ac:dyDescent="0.3">
      <c r="A873" s="54">
        <v>872</v>
      </c>
      <c r="B873" s="12">
        <v>3624359.2407158846</v>
      </c>
      <c r="G873" s="54">
        <v>872</v>
      </c>
      <c r="H873" s="94">
        <v>5823886.8946641954</v>
      </c>
    </row>
    <row r="874" spans="1:8" x14ac:dyDescent="0.3">
      <c r="A874" s="54">
        <v>873</v>
      </c>
      <c r="B874" s="12">
        <v>3230523.5818947065</v>
      </c>
      <c r="G874" s="54">
        <v>873</v>
      </c>
      <c r="H874" s="94">
        <v>5894728.8844739329</v>
      </c>
    </row>
    <row r="875" spans="1:8" x14ac:dyDescent="0.3">
      <c r="A875" s="54">
        <v>874</v>
      </c>
      <c r="B875" s="12">
        <v>3608569.540404811</v>
      </c>
      <c r="G875" s="54">
        <v>874</v>
      </c>
      <c r="H875" s="94">
        <v>5884541.6379824597</v>
      </c>
    </row>
    <row r="876" spans="1:8" x14ac:dyDescent="0.3">
      <c r="A876" s="54">
        <v>875</v>
      </c>
      <c r="B876" s="12">
        <v>3739487.2941555525</v>
      </c>
      <c r="G876" s="54">
        <v>875</v>
      </c>
      <c r="H876" s="94">
        <v>5984687.100551472</v>
      </c>
    </row>
    <row r="877" spans="1:8" x14ac:dyDescent="0.3">
      <c r="A877" s="54">
        <v>876</v>
      </c>
      <c r="B877" s="12">
        <v>3498732.0266594333</v>
      </c>
      <c r="G877" s="54">
        <v>876</v>
      </c>
      <c r="H877" s="94">
        <v>5878553.3277510079</v>
      </c>
    </row>
    <row r="878" spans="1:8" x14ac:dyDescent="0.3">
      <c r="A878" s="54">
        <v>877</v>
      </c>
      <c r="B878" s="12">
        <v>3481790.0650890996</v>
      </c>
      <c r="G878" s="54">
        <v>877</v>
      </c>
      <c r="H878" s="94">
        <v>5965423.4684188738</v>
      </c>
    </row>
    <row r="879" spans="1:8" x14ac:dyDescent="0.3">
      <c r="A879" s="54">
        <v>878</v>
      </c>
      <c r="B879" s="12">
        <v>3637896.5939055681</v>
      </c>
      <c r="G879" s="54">
        <v>878</v>
      </c>
      <c r="H879" s="94">
        <v>5768563.9349160222</v>
      </c>
    </row>
    <row r="880" spans="1:8" x14ac:dyDescent="0.3">
      <c r="A880" s="54">
        <v>879</v>
      </c>
      <c r="B880" s="12">
        <v>3425674.3337729461</v>
      </c>
      <c r="G880" s="54">
        <v>879</v>
      </c>
      <c r="H880" s="94">
        <v>5914150.6962287575</v>
      </c>
    </row>
    <row r="881" spans="1:8" x14ac:dyDescent="0.3">
      <c r="A881" s="54">
        <v>880</v>
      </c>
      <c r="B881" s="12">
        <v>3382046.7447923524</v>
      </c>
      <c r="G881" s="54">
        <v>880</v>
      </c>
      <c r="H881" s="94">
        <v>5766927.5661728932</v>
      </c>
    </row>
    <row r="882" spans="1:8" x14ac:dyDescent="0.3">
      <c r="A882" s="54">
        <v>881</v>
      </c>
      <c r="B882" s="12">
        <v>3448157.6776157059</v>
      </c>
      <c r="G882" s="54">
        <v>881</v>
      </c>
      <c r="H882" s="94">
        <v>5856716.5967858862</v>
      </c>
    </row>
    <row r="883" spans="1:8" x14ac:dyDescent="0.3">
      <c r="A883" s="54">
        <v>882</v>
      </c>
      <c r="B883" s="12">
        <v>3683527.4605588401</v>
      </c>
      <c r="G883" s="54">
        <v>882</v>
      </c>
      <c r="H883" s="94">
        <v>5824950.2275634669</v>
      </c>
    </row>
    <row r="884" spans="1:8" x14ac:dyDescent="0.3">
      <c r="A884" s="54">
        <v>883</v>
      </c>
      <c r="B884" s="12">
        <v>3526554.6117318212</v>
      </c>
      <c r="G884" s="54">
        <v>883</v>
      </c>
      <c r="H884" s="94">
        <v>5853205.0615115296</v>
      </c>
    </row>
    <row r="885" spans="1:8" x14ac:dyDescent="0.3">
      <c r="A885" s="54">
        <v>884</v>
      </c>
      <c r="B885" s="12">
        <v>3660781.0107051302</v>
      </c>
      <c r="G885" s="54">
        <v>884</v>
      </c>
      <c r="H885" s="94">
        <v>5811798.3154240791</v>
      </c>
    </row>
    <row r="886" spans="1:8" x14ac:dyDescent="0.3">
      <c r="A886" s="54">
        <v>885</v>
      </c>
      <c r="B886" s="12">
        <v>3424623.8445644313</v>
      </c>
      <c r="G886" s="54">
        <v>885</v>
      </c>
      <c r="H886" s="94">
        <v>5834219.516668967</v>
      </c>
    </row>
    <row r="887" spans="1:8" x14ac:dyDescent="0.3">
      <c r="A887" s="54">
        <v>886</v>
      </c>
      <c r="B887" s="12">
        <v>3625365.2890052856</v>
      </c>
      <c r="G887" s="54">
        <v>886</v>
      </c>
      <c r="H887" s="94">
        <v>5853633.4225789392</v>
      </c>
    </row>
    <row r="888" spans="1:8" x14ac:dyDescent="0.3">
      <c r="A888" s="54">
        <v>887</v>
      </c>
      <c r="B888" s="12">
        <v>3412929.4094688846</v>
      </c>
      <c r="G888" s="54">
        <v>887</v>
      </c>
      <c r="H888" s="94">
        <v>5779598.0084644426</v>
      </c>
    </row>
    <row r="889" spans="1:8" x14ac:dyDescent="0.3">
      <c r="A889" s="54">
        <v>888</v>
      </c>
      <c r="B889" s="12">
        <v>3684317.9104964631</v>
      </c>
      <c r="G889" s="54">
        <v>888</v>
      </c>
      <c r="H889" s="94">
        <v>5883316.4919208633</v>
      </c>
    </row>
    <row r="890" spans="1:8" x14ac:dyDescent="0.3">
      <c r="A890" s="54">
        <v>889</v>
      </c>
      <c r="B890" s="12">
        <v>3023797.8597990843</v>
      </c>
      <c r="G890" s="54">
        <v>889</v>
      </c>
      <c r="H890" s="94">
        <v>5783369.8085541064</v>
      </c>
    </row>
    <row r="891" spans="1:8" x14ac:dyDescent="0.3">
      <c r="A891" s="54">
        <v>890</v>
      </c>
      <c r="B891" s="12">
        <v>3857334.4050543485</v>
      </c>
      <c r="G891" s="54">
        <v>890</v>
      </c>
      <c r="H891" s="94">
        <v>5879382.3409658931</v>
      </c>
    </row>
    <row r="892" spans="1:8" x14ac:dyDescent="0.3">
      <c r="A892" s="54">
        <v>891</v>
      </c>
      <c r="B892" s="12">
        <v>3130321.4709438803</v>
      </c>
      <c r="G892" s="54">
        <v>891</v>
      </c>
      <c r="H892" s="94">
        <v>5722134.1446093414</v>
      </c>
    </row>
    <row r="893" spans="1:8" x14ac:dyDescent="0.3">
      <c r="A893" s="54">
        <v>892</v>
      </c>
      <c r="B893" s="12">
        <v>3396869.4499734864</v>
      </c>
      <c r="G893" s="54">
        <v>892</v>
      </c>
      <c r="H893" s="94">
        <v>5788577.2806858486</v>
      </c>
    </row>
    <row r="894" spans="1:8" x14ac:dyDescent="0.3">
      <c r="A894" s="54">
        <v>893</v>
      </c>
      <c r="B894" s="12">
        <v>3285547.8823781232</v>
      </c>
      <c r="G894" s="54">
        <v>893</v>
      </c>
      <c r="H894" s="94">
        <v>5799220.1624691244</v>
      </c>
    </row>
    <row r="895" spans="1:8" x14ac:dyDescent="0.3">
      <c r="A895" s="54">
        <v>894</v>
      </c>
      <c r="B895" s="12">
        <v>3350757.8887268305</v>
      </c>
      <c r="G895" s="54">
        <v>894</v>
      </c>
      <c r="H895" s="94">
        <v>5821449.0639072331</v>
      </c>
    </row>
    <row r="896" spans="1:8" x14ac:dyDescent="0.3">
      <c r="A896" s="54">
        <v>895</v>
      </c>
      <c r="B896" s="12">
        <v>3378306.7984263562</v>
      </c>
      <c r="G896" s="54">
        <v>895</v>
      </c>
      <c r="H896" s="94">
        <v>5881481.481523159</v>
      </c>
    </row>
    <row r="897" spans="1:8" x14ac:dyDescent="0.3">
      <c r="A897" s="54">
        <v>896</v>
      </c>
      <c r="B897" s="12">
        <v>3607453.3866390898</v>
      </c>
      <c r="G897" s="54">
        <v>896</v>
      </c>
      <c r="H897" s="94">
        <v>5762671.1704165572</v>
      </c>
    </row>
    <row r="898" spans="1:8" x14ac:dyDescent="0.3">
      <c r="A898" s="54">
        <v>897</v>
      </c>
      <c r="B898" s="12">
        <v>3395995.7119212667</v>
      </c>
      <c r="G898" s="54">
        <v>897</v>
      </c>
      <c r="H898" s="94">
        <v>5949964.7115386641</v>
      </c>
    </row>
    <row r="899" spans="1:8" x14ac:dyDescent="0.3">
      <c r="A899" s="54">
        <v>898</v>
      </c>
      <c r="B899" s="12">
        <v>3310559.9658668572</v>
      </c>
      <c r="G899" s="54">
        <v>898</v>
      </c>
      <c r="H899" s="94">
        <v>5722959.8053571461</v>
      </c>
    </row>
    <row r="900" spans="1:8" x14ac:dyDescent="0.3">
      <c r="A900" s="54">
        <v>899</v>
      </c>
      <c r="B900" s="12">
        <v>3653499.0279501164</v>
      </c>
      <c r="G900" s="54">
        <v>899</v>
      </c>
      <c r="H900" s="94">
        <v>5879233.6373362755</v>
      </c>
    </row>
    <row r="901" spans="1:8" x14ac:dyDescent="0.3">
      <c r="A901" s="54">
        <v>900</v>
      </c>
      <c r="B901" s="12">
        <v>3411733.1626361883</v>
      </c>
      <c r="G901" s="54">
        <v>900</v>
      </c>
      <c r="H901" s="94">
        <v>5955467.8112355312</v>
      </c>
    </row>
    <row r="902" spans="1:8" x14ac:dyDescent="0.3">
      <c r="A902" s="54">
        <v>901</v>
      </c>
      <c r="B902" s="12">
        <v>3350172.9388461439</v>
      </c>
      <c r="G902" s="54">
        <v>901</v>
      </c>
      <c r="H902" s="94">
        <v>5883070.1512587517</v>
      </c>
    </row>
    <row r="903" spans="1:8" x14ac:dyDescent="0.3">
      <c r="A903" s="54">
        <v>902</v>
      </c>
      <c r="B903" s="12">
        <v>3501645.7304402469</v>
      </c>
      <c r="G903" s="54">
        <v>902</v>
      </c>
      <c r="H903" s="94">
        <v>5914562.615332297</v>
      </c>
    </row>
    <row r="904" spans="1:8" x14ac:dyDescent="0.3">
      <c r="A904" s="54">
        <v>903</v>
      </c>
      <c r="B904" s="12">
        <v>3350020.0664335806</v>
      </c>
      <c r="G904" s="54">
        <v>903</v>
      </c>
      <c r="H904" s="94">
        <v>5906160.1637041895</v>
      </c>
    </row>
    <row r="905" spans="1:8" x14ac:dyDescent="0.3">
      <c r="A905" s="54">
        <v>904</v>
      </c>
      <c r="B905" s="12">
        <v>3283856.1583448136</v>
      </c>
      <c r="G905" s="54">
        <v>904</v>
      </c>
      <c r="H905" s="94">
        <v>5990754.3363464624</v>
      </c>
    </row>
    <row r="906" spans="1:8" x14ac:dyDescent="0.3">
      <c r="A906" s="54">
        <v>905</v>
      </c>
      <c r="B906" s="12">
        <v>3744617.2976257582</v>
      </c>
      <c r="G906" s="54">
        <v>905</v>
      </c>
      <c r="H906" s="94">
        <v>5887597.3355928017</v>
      </c>
    </row>
    <row r="907" spans="1:8" x14ac:dyDescent="0.3">
      <c r="A907" s="54">
        <v>906</v>
      </c>
      <c r="B907" s="12">
        <v>3327080.0776029769</v>
      </c>
      <c r="G907" s="54">
        <v>906</v>
      </c>
      <c r="H907" s="94">
        <v>5882621.0389573732</v>
      </c>
    </row>
    <row r="908" spans="1:8" x14ac:dyDescent="0.3">
      <c r="A908" s="54">
        <v>907</v>
      </c>
      <c r="B908" s="12">
        <v>3318027.1777868061</v>
      </c>
      <c r="G908" s="54">
        <v>907</v>
      </c>
      <c r="H908" s="94">
        <v>5845487.0630910769</v>
      </c>
    </row>
    <row r="909" spans="1:8" x14ac:dyDescent="0.3">
      <c r="A909" s="54">
        <v>908</v>
      </c>
      <c r="B909" s="12">
        <v>3524587.9746636567</v>
      </c>
      <c r="G909" s="54">
        <v>908</v>
      </c>
      <c r="H909" s="94">
        <v>5837217.8473905521</v>
      </c>
    </row>
    <row r="910" spans="1:8" x14ac:dyDescent="0.3">
      <c r="A910" s="54">
        <v>909</v>
      </c>
      <c r="B910" s="12">
        <v>3320865.8663799968</v>
      </c>
      <c r="G910" s="54">
        <v>909</v>
      </c>
      <c r="H910" s="94">
        <v>5835556.4005873017</v>
      </c>
    </row>
    <row r="911" spans="1:8" x14ac:dyDescent="0.3">
      <c r="A911" s="54">
        <v>910</v>
      </c>
      <c r="B911" s="12">
        <v>3420351.4748938615</v>
      </c>
      <c r="G911" s="54">
        <v>910</v>
      </c>
      <c r="H911" s="94">
        <v>5824676.6821968853</v>
      </c>
    </row>
    <row r="912" spans="1:8" x14ac:dyDescent="0.3">
      <c r="A912" s="54">
        <v>911</v>
      </c>
      <c r="B912" s="12">
        <v>3418077.676048798</v>
      </c>
      <c r="G912" s="54">
        <v>911</v>
      </c>
      <c r="H912" s="94">
        <v>5912350.2233629096</v>
      </c>
    </row>
    <row r="913" spans="1:8" x14ac:dyDescent="0.3">
      <c r="A913" s="54">
        <v>912</v>
      </c>
      <c r="B913" s="12">
        <v>3200549.8632159913</v>
      </c>
      <c r="G913" s="54">
        <v>912</v>
      </c>
      <c r="H913" s="94">
        <v>5816052.2969566574</v>
      </c>
    </row>
    <row r="914" spans="1:8" x14ac:dyDescent="0.3">
      <c r="A914" s="54">
        <v>913</v>
      </c>
      <c r="B914" s="12">
        <v>3690033.464828175</v>
      </c>
      <c r="G914" s="54">
        <v>913</v>
      </c>
      <c r="H914" s="94">
        <v>5867663.854436093</v>
      </c>
    </row>
    <row r="915" spans="1:8" x14ac:dyDescent="0.3">
      <c r="A915" s="54">
        <v>914</v>
      </c>
      <c r="B915" s="12">
        <v>3500621.9587844857</v>
      </c>
      <c r="G915" s="54">
        <v>914</v>
      </c>
      <c r="H915" s="94">
        <v>5796188.3508720491</v>
      </c>
    </row>
    <row r="916" spans="1:8" x14ac:dyDescent="0.3">
      <c r="A916" s="54">
        <v>915</v>
      </c>
      <c r="B916" s="12">
        <v>3475752.4568311558</v>
      </c>
      <c r="G916" s="54">
        <v>915</v>
      </c>
      <c r="H916" s="94">
        <v>5912082.1262582419</v>
      </c>
    </row>
    <row r="917" spans="1:8" x14ac:dyDescent="0.3">
      <c r="A917" s="54">
        <v>916</v>
      </c>
      <c r="B917" s="12">
        <v>3467561.5373851275</v>
      </c>
      <c r="G917" s="54">
        <v>916</v>
      </c>
      <c r="H917" s="94">
        <v>5940041.8267040318</v>
      </c>
    </row>
    <row r="918" spans="1:8" x14ac:dyDescent="0.3">
      <c r="A918" s="54">
        <v>917</v>
      </c>
      <c r="B918" s="12">
        <v>3577659.6216568802</v>
      </c>
      <c r="G918" s="54">
        <v>917</v>
      </c>
      <c r="H918" s="94">
        <v>5653495.9737158753</v>
      </c>
    </row>
    <row r="919" spans="1:8" x14ac:dyDescent="0.3">
      <c r="A919" s="54">
        <v>918</v>
      </c>
      <c r="B919" s="12">
        <v>3400921.4174082554</v>
      </c>
      <c r="G919" s="54">
        <v>918</v>
      </c>
      <c r="H919" s="94">
        <v>5801629.4945932515</v>
      </c>
    </row>
    <row r="920" spans="1:8" x14ac:dyDescent="0.3">
      <c r="A920" s="54">
        <v>919</v>
      </c>
      <c r="B920" s="12">
        <v>3391453.1985222464</v>
      </c>
      <c r="G920" s="54">
        <v>919</v>
      </c>
      <c r="H920" s="94">
        <v>5869805.2047243165</v>
      </c>
    </row>
    <row r="921" spans="1:8" x14ac:dyDescent="0.3">
      <c r="A921" s="54">
        <v>920</v>
      </c>
      <c r="B921" s="12">
        <v>3527999.6231460851</v>
      </c>
      <c r="G921" s="54">
        <v>920</v>
      </c>
      <c r="H921" s="94">
        <v>5905052.8569654431</v>
      </c>
    </row>
    <row r="922" spans="1:8" x14ac:dyDescent="0.3">
      <c r="A922" s="54">
        <v>921</v>
      </c>
      <c r="B922" s="12">
        <v>3442378.778379227</v>
      </c>
      <c r="G922" s="54">
        <v>921</v>
      </c>
      <c r="H922" s="94">
        <v>5927152.2756283833</v>
      </c>
    </row>
    <row r="923" spans="1:8" x14ac:dyDescent="0.3">
      <c r="A923" s="54">
        <v>922</v>
      </c>
      <c r="B923" s="12">
        <v>3623382.865776523</v>
      </c>
      <c r="G923" s="54">
        <v>922</v>
      </c>
      <c r="H923" s="94">
        <v>5892166.8936679233</v>
      </c>
    </row>
    <row r="924" spans="1:8" x14ac:dyDescent="0.3">
      <c r="A924" s="54">
        <v>923</v>
      </c>
      <c r="B924" s="12">
        <v>3568632.5560516482</v>
      </c>
      <c r="G924" s="54">
        <v>923</v>
      </c>
      <c r="H924" s="94">
        <v>5883793.1024436094</v>
      </c>
    </row>
    <row r="925" spans="1:8" x14ac:dyDescent="0.3">
      <c r="A925" s="54">
        <v>924</v>
      </c>
      <c r="B925" s="12">
        <v>3372233.265885565</v>
      </c>
      <c r="G925" s="54">
        <v>924</v>
      </c>
      <c r="H925" s="94">
        <v>5853988.797154489</v>
      </c>
    </row>
    <row r="926" spans="1:8" x14ac:dyDescent="0.3">
      <c r="A926" s="54">
        <v>925</v>
      </c>
      <c r="B926" s="12">
        <v>3268449.1260987362</v>
      </c>
      <c r="G926" s="54">
        <v>925</v>
      </c>
      <c r="H926" s="94">
        <v>5789552.5726749366</v>
      </c>
    </row>
    <row r="927" spans="1:8" x14ac:dyDescent="0.3">
      <c r="A927" s="54">
        <v>926</v>
      </c>
      <c r="B927" s="12">
        <v>3505213.6583198858</v>
      </c>
      <c r="G927" s="54">
        <v>926</v>
      </c>
      <c r="H927" s="94">
        <v>5879154.0198065909</v>
      </c>
    </row>
    <row r="928" spans="1:8" x14ac:dyDescent="0.3">
      <c r="A928" s="54">
        <v>927</v>
      </c>
      <c r="B928" s="12">
        <v>3425900.7820155881</v>
      </c>
      <c r="G928" s="54">
        <v>927</v>
      </c>
      <c r="H928" s="94">
        <v>6058037.7519194288</v>
      </c>
    </row>
    <row r="929" spans="1:8" x14ac:dyDescent="0.3">
      <c r="A929" s="54">
        <v>928</v>
      </c>
      <c r="B929" s="12">
        <v>3281717.7979641142</v>
      </c>
      <c r="G929" s="54">
        <v>928</v>
      </c>
      <c r="H929" s="94">
        <v>5960593.5216718325</v>
      </c>
    </row>
    <row r="930" spans="1:8" x14ac:dyDescent="0.3">
      <c r="A930" s="54">
        <v>929</v>
      </c>
      <c r="B930" s="12">
        <v>3226262.4442280424</v>
      </c>
      <c r="G930" s="54">
        <v>929</v>
      </c>
      <c r="H930" s="94">
        <v>5811588.6894247634</v>
      </c>
    </row>
    <row r="931" spans="1:8" x14ac:dyDescent="0.3">
      <c r="A931" s="54">
        <v>930</v>
      </c>
      <c r="B931" s="12">
        <v>3557099.4117899789</v>
      </c>
      <c r="G931" s="54">
        <v>930</v>
      </c>
      <c r="H931" s="94">
        <v>5772218.5180987967</v>
      </c>
    </row>
    <row r="932" spans="1:8" x14ac:dyDescent="0.3">
      <c r="A932" s="54">
        <v>931</v>
      </c>
      <c r="B932" s="12">
        <v>3369657.089212657</v>
      </c>
      <c r="G932" s="54">
        <v>931</v>
      </c>
      <c r="H932" s="94">
        <v>5931181.3705152012</v>
      </c>
    </row>
    <row r="933" spans="1:8" x14ac:dyDescent="0.3">
      <c r="A933" s="54">
        <v>932</v>
      </c>
      <c r="B933" s="12">
        <v>3477693.7266185493</v>
      </c>
      <c r="G933" s="54">
        <v>932</v>
      </c>
      <c r="H933" s="94">
        <v>5834268.2773298193</v>
      </c>
    </row>
    <row r="934" spans="1:8" x14ac:dyDescent="0.3">
      <c r="A934" s="54">
        <v>933</v>
      </c>
      <c r="B934" s="12">
        <v>3151848.8788031857</v>
      </c>
      <c r="G934" s="54">
        <v>933</v>
      </c>
      <c r="H934" s="94">
        <v>5824212.3439826546</v>
      </c>
    </row>
    <row r="935" spans="1:8" x14ac:dyDescent="0.3">
      <c r="A935" s="54">
        <v>934</v>
      </c>
      <c r="B935" s="12">
        <v>3460867.0369228162</v>
      </c>
      <c r="G935" s="54">
        <v>934</v>
      </c>
      <c r="H935" s="94">
        <v>5798588.4629090102</v>
      </c>
    </row>
    <row r="936" spans="1:8" x14ac:dyDescent="0.3">
      <c r="A936" s="54">
        <v>935</v>
      </c>
      <c r="B936" s="12">
        <v>3526174.3021312878</v>
      </c>
      <c r="G936" s="54">
        <v>935</v>
      </c>
      <c r="H936" s="94">
        <v>5896348.1090114005</v>
      </c>
    </row>
    <row r="937" spans="1:8" x14ac:dyDescent="0.3">
      <c r="A937" s="54">
        <v>936</v>
      </c>
      <c r="B937" s="12">
        <v>3501415.7650382589</v>
      </c>
      <c r="G937" s="54">
        <v>936</v>
      </c>
      <c r="H937" s="94">
        <v>5845077.6706878012</v>
      </c>
    </row>
    <row r="938" spans="1:8" x14ac:dyDescent="0.3">
      <c r="A938" s="54">
        <v>937</v>
      </c>
      <c r="B938" s="12">
        <v>3456338.9763425961</v>
      </c>
      <c r="G938" s="54">
        <v>937</v>
      </c>
      <c r="H938" s="94">
        <v>5990737.7565786736</v>
      </c>
    </row>
    <row r="939" spans="1:8" x14ac:dyDescent="0.3">
      <c r="A939" s="54">
        <v>938</v>
      </c>
      <c r="B939" s="12">
        <v>3352651.2456056713</v>
      </c>
      <c r="G939" s="54">
        <v>938</v>
      </c>
      <c r="H939" s="94">
        <v>5827102.423928814</v>
      </c>
    </row>
    <row r="940" spans="1:8" x14ac:dyDescent="0.3">
      <c r="A940" s="54">
        <v>939</v>
      </c>
      <c r="B940" s="12">
        <v>3252394.9803768862</v>
      </c>
      <c r="G940" s="54">
        <v>939</v>
      </c>
      <c r="H940" s="94">
        <v>5803253.9700615173</v>
      </c>
    </row>
    <row r="941" spans="1:8" x14ac:dyDescent="0.3">
      <c r="A941" s="54">
        <v>940</v>
      </c>
      <c r="B941" s="12">
        <v>3479858.2302055545</v>
      </c>
      <c r="G941" s="54">
        <v>940</v>
      </c>
      <c r="H941" s="94">
        <v>5920022.7124731001</v>
      </c>
    </row>
    <row r="942" spans="1:8" x14ac:dyDescent="0.3">
      <c r="A942" s="54">
        <v>941</v>
      </c>
      <c r="B942" s="12">
        <v>3602583.6126019964</v>
      </c>
      <c r="G942" s="54">
        <v>941</v>
      </c>
      <c r="H942" s="94">
        <v>5815084.5628401283</v>
      </c>
    </row>
    <row r="943" spans="1:8" x14ac:dyDescent="0.3">
      <c r="A943" s="54">
        <v>942</v>
      </c>
      <c r="B943" s="12">
        <v>3338397.8567444454</v>
      </c>
      <c r="G943" s="54">
        <v>942</v>
      </c>
      <c r="H943" s="94">
        <v>5874550.9363437919</v>
      </c>
    </row>
    <row r="944" spans="1:8" x14ac:dyDescent="0.3">
      <c r="A944" s="54">
        <v>943</v>
      </c>
      <c r="B944" s="12">
        <v>3368092.1477905042</v>
      </c>
      <c r="G944" s="54">
        <v>943</v>
      </c>
      <c r="H944" s="94">
        <v>5880800.7905796431</v>
      </c>
    </row>
    <row r="945" spans="1:8" x14ac:dyDescent="0.3">
      <c r="A945" s="54">
        <v>944</v>
      </c>
      <c r="B945" s="12">
        <v>3245481.7431961517</v>
      </c>
      <c r="G945" s="54">
        <v>944</v>
      </c>
      <c r="H945" s="94">
        <v>5819952.939641308</v>
      </c>
    </row>
    <row r="946" spans="1:8" x14ac:dyDescent="0.3">
      <c r="A946" s="54">
        <v>945</v>
      </c>
      <c r="B946" s="12">
        <v>3525461.3306773924</v>
      </c>
      <c r="G946" s="54">
        <v>945</v>
      </c>
      <c r="H946" s="94">
        <v>5844603.3254819801</v>
      </c>
    </row>
    <row r="947" spans="1:8" x14ac:dyDescent="0.3">
      <c r="A947" s="54">
        <v>946</v>
      </c>
      <c r="B947" s="12">
        <v>3275495.0083094402</v>
      </c>
      <c r="G947" s="54">
        <v>946</v>
      </c>
      <c r="H947" s="94">
        <v>5937286.6535235643</v>
      </c>
    </row>
    <row r="948" spans="1:8" x14ac:dyDescent="0.3">
      <c r="A948" s="54">
        <v>947</v>
      </c>
      <c r="B948" s="12">
        <v>3366078.1703257309</v>
      </c>
      <c r="G948" s="54">
        <v>947</v>
      </c>
      <c r="H948" s="94">
        <v>5918594.2679144517</v>
      </c>
    </row>
    <row r="949" spans="1:8" x14ac:dyDescent="0.3">
      <c r="A949" s="54">
        <v>948</v>
      </c>
      <c r="B949" s="12">
        <v>3339625.6684520887</v>
      </c>
      <c r="G949" s="54">
        <v>948</v>
      </c>
      <c r="H949" s="94">
        <v>5828609.5851860335</v>
      </c>
    </row>
    <row r="950" spans="1:8" x14ac:dyDescent="0.3">
      <c r="A950" s="54">
        <v>949</v>
      </c>
      <c r="B950" s="12">
        <v>3250899.869434197</v>
      </c>
      <c r="G950" s="54">
        <v>949</v>
      </c>
      <c r="H950" s="94">
        <v>5923404.440202754</v>
      </c>
    </row>
    <row r="951" spans="1:8" x14ac:dyDescent="0.3">
      <c r="A951" s="54">
        <v>950</v>
      </c>
      <c r="B951" s="12">
        <v>3488159.8083692752</v>
      </c>
      <c r="G951" s="54">
        <v>950</v>
      </c>
      <c r="H951" s="94">
        <v>5860655.316985785</v>
      </c>
    </row>
    <row r="952" spans="1:8" x14ac:dyDescent="0.3">
      <c r="A952" s="54">
        <v>951</v>
      </c>
      <c r="B952" s="12">
        <v>3311345.2903897325</v>
      </c>
      <c r="G952" s="54">
        <v>951</v>
      </c>
      <c r="H952" s="94">
        <v>5825127.8865267793</v>
      </c>
    </row>
    <row r="953" spans="1:8" x14ac:dyDescent="0.3">
      <c r="A953" s="54">
        <v>952</v>
      </c>
      <c r="B953" s="12">
        <v>3548377.9996217508</v>
      </c>
      <c r="G953" s="54">
        <v>952</v>
      </c>
      <c r="H953" s="94">
        <v>5856554.0261900295</v>
      </c>
    </row>
    <row r="954" spans="1:8" x14ac:dyDescent="0.3">
      <c r="A954" s="54">
        <v>953</v>
      </c>
      <c r="B954" s="12">
        <v>3481360.5028010886</v>
      </c>
      <c r="G954" s="54">
        <v>953</v>
      </c>
      <c r="H954" s="94">
        <v>5926794.9908454921</v>
      </c>
    </row>
    <row r="955" spans="1:8" x14ac:dyDescent="0.3">
      <c r="A955" s="54">
        <v>954</v>
      </c>
      <c r="B955" s="12">
        <v>3642868.0977715207</v>
      </c>
      <c r="G955" s="54">
        <v>954</v>
      </c>
      <c r="H955" s="94">
        <v>5712648.4615753861</v>
      </c>
    </row>
    <row r="956" spans="1:8" x14ac:dyDescent="0.3">
      <c r="A956" s="54">
        <v>955</v>
      </c>
      <c r="B956" s="12">
        <v>3492001.3827417432</v>
      </c>
      <c r="G956" s="54">
        <v>955</v>
      </c>
      <c r="H956" s="94">
        <v>5774443.0678497991</v>
      </c>
    </row>
    <row r="957" spans="1:8" x14ac:dyDescent="0.3">
      <c r="A957" s="54">
        <v>956</v>
      </c>
      <c r="B957" s="12">
        <v>3586302.157765585</v>
      </c>
      <c r="G957" s="54">
        <v>956</v>
      </c>
      <c r="H957" s="94">
        <v>5995837.6351278154</v>
      </c>
    </row>
    <row r="958" spans="1:8" x14ac:dyDescent="0.3">
      <c r="A958" s="54">
        <v>957</v>
      </c>
      <c r="B958" s="12">
        <v>3206205.5381419063</v>
      </c>
      <c r="G958" s="54">
        <v>957</v>
      </c>
      <c r="H958" s="94">
        <v>5825459.7006051717</v>
      </c>
    </row>
    <row r="959" spans="1:8" x14ac:dyDescent="0.3">
      <c r="A959" s="54">
        <v>958</v>
      </c>
      <c r="B959" s="12">
        <v>3486980.6012516343</v>
      </c>
      <c r="G959" s="54">
        <v>958</v>
      </c>
      <c r="H959" s="94">
        <v>5816529.5165387783</v>
      </c>
    </row>
    <row r="960" spans="1:8" x14ac:dyDescent="0.3">
      <c r="A960" s="54">
        <v>959</v>
      </c>
      <c r="B960" s="12">
        <v>3204201.5561594767</v>
      </c>
      <c r="G960" s="54">
        <v>959</v>
      </c>
      <c r="H960" s="94">
        <v>5842762.0088167768</v>
      </c>
    </row>
    <row r="961" spans="1:8" x14ac:dyDescent="0.3">
      <c r="A961" s="54">
        <v>960</v>
      </c>
      <c r="B961" s="12">
        <v>3190527.3109760745</v>
      </c>
      <c r="G961" s="54">
        <v>960</v>
      </c>
      <c r="H961" s="94">
        <v>5763914.1891996935</v>
      </c>
    </row>
    <row r="962" spans="1:8" x14ac:dyDescent="0.3">
      <c r="A962" s="54">
        <v>961</v>
      </c>
      <c r="B962" s="12">
        <v>3295145.132515965</v>
      </c>
      <c r="G962" s="54">
        <v>961</v>
      </c>
      <c r="H962" s="94">
        <v>5843733.4701217646</v>
      </c>
    </row>
    <row r="963" spans="1:8" x14ac:dyDescent="0.3">
      <c r="A963" s="54">
        <v>962</v>
      </c>
      <c r="B963" s="12">
        <v>3326996.2417459823</v>
      </c>
      <c r="G963" s="54">
        <v>962</v>
      </c>
      <c r="H963" s="94">
        <v>5837160.5537433894</v>
      </c>
    </row>
    <row r="964" spans="1:8" x14ac:dyDescent="0.3">
      <c r="A964" s="54">
        <v>963</v>
      </c>
      <c r="B964" s="12">
        <v>3221356.7883374644</v>
      </c>
      <c r="G964" s="54">
        <v>963</v>
      </c>
      <c r="H964" s="94">
        <v>5838713.0668938467</v>
      </c>
    </row>
    <row r="965" spans="1:8" x14ac:dyDescent="0.3">
      <c r="A965" s="54">
        <v>964</v>
      </c>
      <c r="B965" s="12">
        <v>3524458.2923260452</v>
      </c>
      <c r="G965" s="54">
        <v>964</v>
      </c>
      <c r="H965" s="94">
        <v>5881908.5217024982</v>
      </c>
    </row>
    <row r="966" spans="1:8" x14ac:dyDescent="0.3">
      <c r="A966" s="54">
        <v>965</v>
      </c>
      <c r="B966" s="12">
        <v>3258682.1361439596</v>
      </c>
      <c r="D966" s="105"/>
      <c r="E966" s="105"/>
      <c r="G966" s="54">
        <v>965</v>
      </c>
      <c r="H966" s="94">
        <v>5762721.2500981493</v>
      </c>
    </row>
    <row r="967" spans="1:8" x14ac:dyDescent="0.3">
      <c r="A967" s="54">
        <v>966</v>
      </c>
      <c r="B967" s="12">
        <v>3434682.9748941208</v>
      </c>
      <c r="G967" s="54">
        <v>966</v>
      </c>
      <c r="H967" s="94">
        <v>5897635.7343160054</v>
      </c>
    </row>
    <row r="968" spans="1:8" x14ac:dyDescent="0.3">
      <c r="A968" s="54">
        <v>967</v>
      </c>
      <c r="B968" s="12">
        <v>3473221.476150881</v>
      </c>
      <c r="G968" s="54">
        <v>967</v>
      </c>
      <c r="H968" s="94">
        <v>5729859.0750807831</v>
      </c>
    </row>
    <row r="969" spans="1:8" x14ac:dyDescent="0.3">
      <c r="A969" s="54">
        <v>968</v>
      </c>
      <c r="B969" s="12">
        <v>3445336.2669238513</v>
      </c>
      <c r="G969" s="54">
        <v>968</v>
      </c>
      <c r="H969" s="94">
        <v>5886354.1519656098</v>
      </c>
    </row>
    <row r="970" spans="1:8" x14ac:dyDescent="0.3">
      <c r="A970" s="54">
        <v>969</v>
      </c>
      <c r="B970" s="12">
        <v>3772846.475577435</v>
      </c>
      <c r="G970" s="54">
        <v>969</v>
      </c>
      <c r="H970" s="94">
        <v>5892087.8771121008</v>
      </c>
    </row>
    <row r="971" spans="1:8" x14ac:dyDescent="0.3">
      <c r="A971" s="54">
        <v>970</v>
      </c>
      <c r="B971" s="12">
        <v>3554106.1615949618</v>
      </c>
      <c r="G971" s="54">
        <v>970</v>
      </c>
      <c r="H971" s="94">
        <v>5868708.8890662044</v>
      </c>
    </row>
    <row r="972" spans="1:8" x14ac:dyDescent="0.3">
      <c r="A972" s="54">
        <v>971</v>
      </c>
      <c r="B972" s="12">
        <v>3588419.13174982</v>
      </c>
      <c r="G972" s="54">
        <v>971</v>
      </c>
      <c r="H972" s="94">
        <v>5900154.307641739</v>
      </c>
    </row>
    <row r="973" spans="1:8" x14ac:dyDescent="0.3">
      <c r="A973" s="54">
        <v>972</v>
      </c>
      <c r="B973" s="12">
        <v>3568239.4030768648</v>
      </c>
      <c r="G973" s="54">
        <v>972</v>
      </c>
      <c r="H973" s="94">
        <v>5967533.7684432752</v>
      </c>
    </row>
    <row r="974" spans="1:8" x14ac:dyDescent="0.3">
      <c r="A974" s="54">
        <v>973</v>
      </c>
      <c r="B974" s="12">
        <v>3424108.0188937634</v>
      </c>
      <c r="G974" s="54">
        <v>973</v>
      </c>
      <c r="H974" s="94">
        <v>5953622.8803027077</v>
      </c>
    </row>
    <row r="975" spans="1:8" x14ac:dyDescent="0.3">
      <c r="A975" s="54">
        <v>974</v>
      </c>
      <c r="B975" s="12">
        <v>3621782.089275361</v>
      </c>
      <c r="G975" s="54">
        <v>974</v>
      </c>
      <c r="H975" s="94">
        <v>5921365.6895990549</v>
      </c>
    </row>
    <row r="976" spans="1:8" x14ac:dyDescent="0.3">
      <c r="A976" s="54">
        <v>975</v>
      </c>
      <c r="B976" s="12">
        <v>3788683.0657816185</v>
      </c>
      <c r="G976" s="54">
        <v>975</v>
      </c>
      <c r="H976" s="94">
        <v>5747898.8424770962</v>
      </c>
    </row>
    <row r="977" spans="1:8" x14ac:dyDescent="0.3">
      <c r="A977" s="54">
        <v>976</v>
      </c>
      <c r="B977" s="12">
        <v>3301999.1796123842</v>
      </c>
      <c r="G977" s="54">
        <v>976</v>
      </c>
      <c r="H977" s="94">
        <v>5865195.4302198039</v>
      </c>
    </row>
    <row r="978" spans="1:8" x14ac:dyDescent="0.3">
      <c r="A978" s="54">
        <v>977</v>
      </c>
      <c r="B978" s="12">
        <v>3448088.4698571679</v>
      </c>
      <c r="G978" s="54">
        <v>977</v>
      </c>
      <c r="H978" s="94">
        <v>5828894.4122417998</v>
      </c>
    </row>
    <row r="979" spans="1:8" x14ac:dyDescent="0.3">
      <c r="A979" s="54">
        <v>978</v>
      </c>
      <c r="B979" s="12">
        <v>3337357.8259584135</v>
      </c>
      <c r="G979" s="54">
        <v>978</v>
      </c>
      <c r="H979" s="94">
        <v>5868087.405170761</v>
      </c>
    </row>
    <row r="980" spans="1:8" x14ac:dyDescent="0.3">
      <c r="A980" s="54">
        <v>979</v>
      </c>
      <c r="B980" s="12">
        <v>3630476.4185017673</v>
      </c>
      <c r="G980" s="54">
        <v>979</v>
      </c>
      <c r="H980" s="94">
        <v>5812966.3580447799</v>
      </c>
    </row>
    <row r="981" spans="1:8" x14ac:dyDescent="0.3">
      <c r="A981" s="54">
        <v>980</v>
      </c>
      <c r="B981" s="12">
        <v>3378581.0892733126</v>
      </c>
      <c r="G981" s="54">
        <v>980</v>
      </c>
      <c r="H981" s="94">
        <v>5964539.1288522864</v>
      </c>
    </row>
    <row r="982" spans="1:8" x14ac:dyDescent="0.3">
      <c r="A982" s="54">
        <v>981</v>
      </c>
      <c r="B982" s="12">
        <v>3380051.6136871898</v>
      </c>
      <c r="G982" s="54">
        <v>981</v>
      </c>
      <c r="H982" s="94">
        <v>5740163.2794606304</v>
      </c>
    </row>
    <row r="983" spans="1:8" x14ac:dyDescent="0.3">
      <c r="A983" s="54">
        <v>982</v>
      </c>
      <c r="B983" s="12">
        <v>2965141.0728197801</v>
      </c>
      <c r="G983" s="54">
        <v>982</v>
      </c>
      <c r="H983" s="94">
        <v>5858849.9426803039</v>
      </c>
    </row>
    <row r="984" spans="1:8" x14ac:dyDescent="0.3">
      <c r="A984" s="54">
        <v>983</v>
      </c>
      <c r="B984" s="12">
        <v>3473108.44385884</v>
      </c>
      <c r="G984" s="54">
        <v>983</v>
      </c>
      <c r="H984" s="94">
        <v>5906276.2104958016</v>
      </c>
    </row>
    <row r="985" spans="1:8" x14ac:dyDescent="0.3">
      <c r="A985" s="54">
        <v>984</v>
      </c>
      <c r="B985" s="12">
        <v>3352983.0611799252</v>
      </c>
      <c r="G985" s="54">
        <v>984</v>
      </c>
      <c r="H985" s="94">
        <v>5929936.6441464424</v>
      </c>
    </row>
    <row r="986" spans="1:8" x14ac:dyDescent="0.3">
      <c r="A986" s="54">
        <v>985</v>
      </c>
      <c r="B986" s="12">
        <v>3496135.1002894142</v>
      </c>
      <c r="G986" s="54">
        <v>985</v>
      </c>
      <c r="H986" s="94">
        <v>5901574.308428633</v>
      </c>
    </row>
    <row r="987" spans="1:8" x14ac:dyDescent="0.3">
      <c r="A987" s="54">
        <v>986</v>
      </c>
      <c r="B987" s="12">
        <v>3531091.7645699652</v>
      </c>
      <c r="G987" s="54">
        <v>986</v>
      </c>
      <c r="H987" s="94">
        <v>5927519.6645430867</v>
      </c>
    </row>
    <row r="988" spans="1:8" x14ac:dyDescent="0.3">
      <c r="A988" s="54">
        <v>987</v>
      </c>
      <c r="B988" s="12">
        <v>3448791.1027533696</v>
      </c>
      <c r="G988" s="54">
        <v>987</v>
      </c>
      <c r="H988" s="94">
        <v>5730053.4473987138</v>
      </c>
    </row>
    <row r="989" spans="1:8" x14ac:dyDescent="0.3">
      <c r="A989" s="54">
        <v>988</v>
      </c>
      <c r="B989" s="12">
        <v>3622653.698718424</v>
      </c>
      <c r="G989" s="54">
        <v>988</v>
      </c>
      <c r="H989" s="94">
        <v>5833443.8721914394</v>
      </c>
    </row>
    <row r="990" spans="1:8" x14ac:dyDescent="0.3">
      <c r="A990" s="54">
        <v>989</v>
      </c>
      <c r="B990" s="12">
        <v>3692630.9877330824</v>
      </c>
      <c r="G990" s="54">
        <v>989</v>
      </c>
      <c r="H990" s="94">
        <v>5845446.4005278079</v>
      </c>
    </row>
    <row r="991" spans="1:8" x14ac:dyDescent="0.3">
      <c r="A991" s="54">
        <v>990</v>
      </c>
      <c r="B991" s="12">
        <v>3212563.3992159776</v>
      </c>
      <c r="G991" s="54">
        <v>990</v>
      </c>
      <c r="H991" s="94">
        <v>5907605.9329648195</v>
      </c>
    </row>
    <row r="992" spans="1:8" x14ac:dyDescent="0.3">
      <c r="A992" s="54">
        <v>991</v>
      </c>
      <c r="B992" s="12">
        <v>3182186.1565481462</v>
      </c>
      <c r="G992" s="54">
        <v>991</v>
      </c>
      <c r="H992" s="94">
        <v>6008100.0549628129</v>
      </c>
    </row>
    <row r="993" spans="1:8" x14ac:dyDescent="0.3">
      <c r="A993" s="54">
        <v>992</v>
      </c>
      <c r="B993" s="12">
        <v>3473872.7200315017</v>
      </c>
      <c r="G993" s="54">
        <v>992</v>
      </c>
      <c r="H993" s="94">
        <v>5776245.2687517703</v>
      </c>
    </row>
    <row r="994" spans="1:8" x14ac:dyDescent="0.3">
      <c r="A994" s="54">
        <v>993</v>
      </c>
      <c r="B994" s="12">
        <v>3245917.4981580819</v>
      </c>
      <c r="G994" s="54">
        <v>993</v>
      </c>
      <c r="H994" s="94">
        <v>5949872.3660619287</v>
      </c>
    </row>
    <row r="995" spans="1:8" x14ac:dyDescent="0.3">
      <c r="A995" s="54">
        <v>994</v>
      </c>
      <c r="B995" s="12">
        <v>3325236.6653079232</v>
      </c>
      <c r="G995" s="54">
        <v>994</v>
      </c>
      <c r="H995" s="94">
        <v>5844611.823700767</v>
      </c>
    </row>
    <row r="996" spans="1:8" x14ac:dyDescent="0.3">
      <c r="A996" s="54">
        <v>995</v>
      </c>
      <c r="B996" s="12">
        <v>3492809.8082884429</v>
      </c>
      <c r="G996" s="54">
        <v>995</v>
      </c>
      <c r="H996" s="94">
        <v>5884311.3079592139</v>
      </c>
    </row>
    <row r="997" spans="1:8" x14ac:dyDescent="0.3">
      <c r="A997" s="54">
        <v>996</v>
      </c>
      <c r="B997" s="12">
        <v>3516074.4408890489</v>
      </c>
      <c r="G997" s="54">
        <v>996</v>
      </c>
      <c r="H997" s="94">
        <v>5866509.8106949963</v>
      </c>
    </row>
    <row r="998" spans="1:8" x14ac:dyDescent="0.3">
      <c r="A998" s="54">
        <v>997</v>
      </c>
      <c r="B998" s="12">
        <v>3487635.9797385158</v>
      </c>
      <c r="G998" s="54">
        <v>997</v>
      </c>
      <c r="H998" s="94">
        <v>5923015.1268270286</v>
      </c>
    </row>
    <row r="999" spans="1:8" x14ac:dyDescent="0.3">
      <c r="A999" s="54">
        <v>998</v>
      </c>
      <c r="B999" s="12">
        <v>3504466.091785165</v>
      </c>
      <c r="G999" s="54">
        <v>998</v>
      </c>
      <c r="H999" s="94">
        <v>5993526.1462157546</v>
      </c>
    </row>
    <row r="1000" spans="1:8" x14ac:dyDescent="0.3">
      <c r="A1000" s="54">
        <v>999</v>
      </c>
      <c r="B1000" s="12">
        <v>3530898.4690872855</v>
      </c>
      <c r="G1000" s="54">
        <v>999</v>
      </c>
      <c r="H1000" s="94">
        <v>5930120.9663916612</v>
      </c>
    </row>
    <row r="1001" spans="1:8" x14ac:dyDescent="0.3">
      <c r="A1001" s="55">
        <v>1000</v>
      </c>
      <c r="B1001" s="12">
        <v>3452596.8095790003</v>
      </c>
      <c r="G1001" s="55">
        <v>1000</v>
      </c>
      <c r="H1001" s="122">
        <v>5895935.9707464781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0F0CB-2BD0-D142-A204-1D689519AE2B}">
  <dimension ref="A1:V65"/>
  <sheetViews>
    <sheetView topLeftCell="I1" zoomScale="73" zoomScaleNormal="80" workbookViewId="0">
      <selection activeCell="L4" sqref="L4"/>
    </sheetView>
  </sheetViews>
  <sheetFormatPr baseColWidth="10" defaultColWidth="11" defaultRowHeight="15.75" customHeight="1" outlineLevelRow="1" x14ac:dyDescent="0.3"/>
  <cols>
    <col min="1" max="1" width="25.5" customWidth="1"/>
    <col min="2" max="2" width="20.69921875" customWidth="1"/>
    <col min="5" max="5" width="28.5" customWidth="1"/>
    <col min="6" max="6" width="17.69921875" customWidth="1"/>
    <col min="7" max="7" width="16.69921875" customWidth="1"/>
    <col min="8" max="8" width="17.296875" customWidth="1"/>
    <col min="10" max="10" width="21.69921875" customWidth="1"/>
    <col min="11" max="11" width="15.19921875" customWidth="1"/>
    <col min="12" max="12" width="13" customWidth="1"/>
    <col min="13" max="13" width="11.796875" bestFit="1" customWidth="1"/>
    <col min="14" max="14" width="10.296875" customWidth="1"/>
    <col min="15" max="15" width="11.796875" bestFit="1" customWidth="1"/>
    <col min="16" max="16" width="21.796875" customWidth="1"/>
    <col min="17" max="17" width="23.796875" customWidth="1"/>
    <col min="18" max="18" width="20.19921875" bestFit="1" customWidth="1"/>
    <col min="19" max="19" width="26.69921875" customWidth="1"/>
    <col min="20" max="20" width="10.796875" bestFit="1" customWidth="1"/>
    <col min="21" max="21" width="12" bestFit="1" customWidth="1"/>
    <col min="22" max="22" width="17" bestFit="1" customWidth="1"/>
  </cols>
  <sheetData>
    <row r="1" spans="1:22" ht="15.6" x14ac:dyDescent="0.3">
      <c r="A1" s="235" t="s">
        <v>114</v>
      </c>
      <c r="B1" s="236"/>
    </row>
    <row r="2" spans="1:22" ht="16.95" customHeight="1" x14ac:dyDescent="0.3">
      <c r="A2" s="131" t="s">
        <v>115</v>
      </c>
      <c r="B2" s="127">
        <f>B26</f>
        <v>42125.599999999999</v>
      </c>
      <c r="E2" s="237" t="s">
        <v>106</v>
      </c>
      <c r="F2" s="238"/>
    </row>
    <row r="3" spans="1:22" ht="16.95" customHeight="1" x14ac:dyDescent="0.3">
      <c r="A3" s="132" t="s">
        <v>116</v>
      </c>
      <c r="B3" s="128">
        <f>F26</f>
        <v>26956.333333333332</v>
      </c>
      <c r="E3" s="153" t="s">
        <v>117</v>
      </c>
      <c r="F3" s="154">
        <v>2.85</v>
      </c>
      <c r="J3" s="221" t="s">
        <v>118</v>
      </c>
      <c r="K3" s="228" t="s">
        <v>119</v>
      </c>
      <c r="L3" s="222" t="s">
        <v>120</v>
      </c>
      <c r="M3" s="223" t="s">
        <v>121</v>
      </c>
      <c r="N3" s="223" t="s">
        <v>122</v>
      </c>
      <c r="O3" s="223" t="s">
        <v>123</v>
      </c>
      <c r="P3" s="223" t="s">
        <v>124</v>
      </c>
      <c r="Q3" s="224" t="s">
        <v>125</v>
      </c>
      <c r="R3" s="225" t="s">
        <v>126</v>
      </c>
      <c r="S3" s="22" t="s">
        <v>127</v>
      </c>
      <c r="T3" s="21" t="s">
        <v>128</v>
      </c>
      <c r="U3" s="21" t="s">
        <v>129</v>
      </c>
      <c r="V3" s="21" t="s">
        <v>130</v>
      </c>
    </row>
    <row r="4" spans="1:22" ht="15.6" x14ac:dyDescent="0.3">
      <c r="A4" s="132" t="s">
        <v>131</v>
      </c>
      <c r="B4" s="129">
        <v>7000</v>
      </c>
      <c r="E4" s="153" t="s">
        <v>132</v>
      </c>
      <c r="F4" s="154">
        <f>5*5</f>
        <v>25</v>
      </c>
      <c r="J4" s="134" t="s">
        <v>133</v>
      </c>
      <c r="K4" s="137">
        <f>(B2-B4)*F4-B5+(F4*-B9)</f>
        <v>841545.8</v>
      </c>
      <c r="L4" s="138">
        <f>((B2-B4)*15)-(B9*F4)-(B2*10)-B5</f>
        <v>69033.799999999988</v>
      </c>
      <c r="M4" s="226">
        <f>MAX(K4:L4)</f>
        <v>841545.8</v>
      </c>
      <c r="N4" s="142">
        <f>MIN(K4:L4)</f>
        <v>69033.799999999988</v>
      </c>
      <c r="O4" s="226">
        <f>(K4*$P$10)+(L4*$P$11)</f>
        <v>571166.6</v>
      </c>
      <c r="P4" s="226">
        <f>(K4+L4)/2</f>
        <v>455289.80000000005</v>
      </c>
      <c r="Q4" s="227">
        <f>V4</f>
        <v>262702.03333333333</v>
      </c>
      <c r="R4" s="23" t="s">
        <v>134</v>
      </c>
      <c r="S4" s="144" t="str">
        <f>J4</f>
        <v xml:space="preserve">Air BNB </v>
      </c>
      <c r="T4" s="13">
        <f>K4-K4</f>
        <v>0</v>
      </c>
      <c r="U4" s="13">
        <f>$L$5-L4</f>
        <v>262702.03333333333</v>
      </c>
      <c r="V4" s="19">
        <f>MAX(T4:U4)</f>
        <v>262702.03333333333</v>
      </c>
    </row>
    <row r="5" spans="1:22" ht="15.6" x14ac:dyDescent="0.3">
      <c r="A5" s="132" t="s">
        <v>135</v>
      </c>
      <c r="B5" s="129">
        <v>5000</v>
      </c>
      <c r="E5" s="153" t="s">
        <v>136</v>
      </c>
      <c r="F5" s="154">
        <f>(5*5)+5</f>
        <v>30</v>
      </c>
      <c r="J5" s="134" t="s">
        <v>137</v>
      </c>
      <c r="K5" s="137">
        <f>((B3-B4)*F6)-(B6*F5)</f>
        <v>458473.83333333331</v>
      </c>
      <c r="L5" s="138">
        <f>((B3-B4)*20)-(B3*1)-(B6*F5)</f>
        <v>331735.83333333331</v>
      </c>
      <c r="M5" s="140">
        <f t="shared" ref="M5:M7" si="0">MAX(K5:L5)</f>
        <v>458473.83333333331</v>
      </c>
      <c r="N5" s="139">
        <f t="shared" ref="N5:N7" si="1">MIN(K5:L5)</f>
        <v>331735.83333333331</v>
      </c>
      <c r="O5" s="140">
        <f>(K5*$P$10)+(L5*$P$11)</f>
        <v>414115.53333333333</v>
      </c>
      <c r="P5" s="140">
        <f>(K5+L5)/2</f>
        <v>395104.83333333331</v>
      </c>
      <c r="Q5" s="141">
        <f>V5</f>
        <v>383071.96666666673</v>
      </c>
      <c r="R5" s="24" t="s">
        <v>138</v>
      </c>
      <c r="S5" s="144" t="str">
        <f>J5</f>
        <v>Agent</v>
      </c>
      <c r="T5" s="13">
        <f>K4-K5</f>
        <v>383071.96666666673</v>
      </c>
      <c r="U5" s="13">
        <f>$L$5-L5</f>
        <v>0</v>
      </c>
      <c r="V5" s="13">
        <f t="shared" ref="V5:V7" si="2">MAX(T5:U5)</f>
        <v>383071.96666666673</v>
      </c>
    </row>
    <row r="6" spans="1:22" ht="15.6" x14ac:dyDescent="0.3">
      <c r="A6" s="132" t="s">
        <v>139</v>
      </c>
      <c r="B6" s="129">
        <f>B3*0.05</f>
        <v>1347.8166666666666</v>
      </c>
      <c r="C6" t="s">
        <v>140</v>
      </c>
      <c r="E6" s="220" t="s">
        <v>141</v>
      </c>
      <c r="F6" s="155">
        <f>5*5</f>
        <v>25</v>
      </c>
      <c r="J6" s="135" t="s">
        <v>142</v>
      </c>
      <c r="K6" s="137">
        <v>0</v>
      </c>
      <c r="L6" s="138">
        <f>-B4*F4</f>
        <v>-175000</v>
      </c>
      <c r="M6" s="140">
        <f t="shared" si="0"/>
        <v>0</v>
      </c>
      <c r="N6" s="219">
        <f t="shared" si="1"/>
        <v>-175000</v>
      </c>
      <c r="O6" s="140">
        <f>(K6*$P$10)+(L6*$P$11)</f>
        <v>-61249.999999999993</v>
      </c>
      <c r="P6" s="140">
        <f>(K6+L6)/2</f>
        <v>-87500</v>
      </c>
      <c r="Q6" s="141">
        <f>V6</f>
        <v>841545.8</v>
      </c>
      <c r="R6" s="23" t="s">
        <v>143</v>
      </c>
      <c r="S6" s="144" t="str">
        <f>J6</f>
        <v>Rent out to acquaintance</v>
      </c>
      <c r="T6" s="13">
        <f>K4-K6</f>
        <v>841545.8</v>
      </c>
      <c r="U6" s="13">
        <f>$L$5-L6</f>
        <v>506735.83333333331</v>
      </c>
      <c r="V6" s="13">
        <f t="shared" si="2"/>
        <v>841545.8</v>
      </c>
    </row>
    <row r="7" spans="1:22" ht="15.6" x14ac:dyDescent="0.3">
      <c r="A7" s="132" t="str">
        <f>J6</f>
        <v>Rent out to acquaintance</v>
      </c>
      <c r="B7" s="129">
        <f>B4</f>
        <v>7000</v>
      </c>
      <c r="J7" s="136" t="s">
        <v>144</v>
      </c>
      <c r="K7" s="142">
        <f>-B4*F4</f>
        <v>-175000</v>
      </c>
      <c r="L7" s="143">
        <f>-B4*F4</f>
        <v>-175000</v>
      </c>
      <c r="M7" s="140">
        <f t="shared" si="0"/>
        <v>-175000</v>
      </c>
      <c r="N7" s="219">
        <f t="shared" si="1"/>
        <v>-175000</v>
      </c>
      <c r="O7" s="140">
        <f>(K7*$P$10)+(L7*$P$11)</f>
        <v>-175000</v>
      </c>
      <c r="P7" s="140">
        <f>(K7+L7)/2</f>
        <v>-175000</v>
      </c>
      <c r="Q7" s="141">
        <f>V7</f>
        <v>1016545.8</v>
      </c>
      <c r="R7" s="25"/>
      <c r="S7" s="144" t="str">
        <f>J7</f>
        <v>Not rent out</v>
      </c>
      <c r="T7" s="13">
        <f>K4-K7</f>
        <v>1016545.8</v>
      </c>
      <c r="U7" s="13">
        <f>$L$5-L7</f>
        <v>506735.83333333331</v>
      </c>
      <c r="V7" s="13">
        <f t="shared" si="2"/>
        <v>1016545.8</v>
      </c>
    </row>
    <row r="8" spans="1:22" ht="16.2" thickBot="1" x14ac:dyDescent="0.35">
      <c r="A8" s="132" t="str">
        <f>J7</f>
        <v>Not rent out</v>
      </c>
      <c r="B8" s="129">
        <f>-B7</f>
        <v>-7000</v>
      </c>
      <c r="K8" s="12"/>
      <c r="L8" s="12"/>
    </row>
    <row r="9" spans="1:22" ht="16.2" thickBot="1" x14ac:dyDescent="0.35">
      <c r="A9" s="133" t="s">
        <v>145</v>
      </c>
      <c r="B9" s="130">
        <f>B2*0.03</f>
        <v>1263.7679999999998</v>
      </c>
      <c r="C9" t="s">
        <v>146</v>
      </c>
      <c r="J9" s="9"/>
      <c r="K9" s="216"/>
      <c r="L9" s="216"/>
      <c r="O9" s="233" t="s">
        <v>123</v>
      </c>
      <c r="P9" s="234"/>
    </row>
    <row r="10" spans="1:22" ht="16.2" thickBot="1" x14ac:dyDescent="0.35">
      <c r="K10" s="12"/>
      <c r="L10" s="12"/>
      <c r="O10" s="123" t="s">
        <v>147</v>
      </c>
      <c r="P10" s="124">
        <v>0.65</v>
      </c>
    </row>
    <row r="11" spans="1:22" ht="18.600000000000001" thickBot="1" x14ac:dyDescent="0.4">
      <c r="A11" s="149" t="s">
        <v>148</v>
      </c>
      <c r="E11" s="162" t="s">
        <v>149</v>
      </c>
      <c r="K11" s="218"/>
      <c r="L11" s="12"/>
      <c r="O11" s="125" t="s">
        <v>150</v>
      </c>
      <c r="P11" s="126">
        <f>1-P10</f>
        <v>0.35</v>
      </c>
    </row>
    <row r="12" spans="1:22" ht="16.2" thickBot="1" x14ac:dyDescent="0.35">
      <c r="A12" s="150" t="s">
        <v>151</v>
      </c>
      <c r="B12" s="151" t="s">
        <v>152</v>
      </c>
      <c r="C12" s="152" t="s">
        <v>153</v>
      </c>
      <c r="E12" s="156" t="s">
        <v>107</v>
      </c>
      <c r="F12" s="157" t="s">
        <v>154</v>
      </c>
      <c r="G12" s="157" t="s">
        <v>155</v>
      </c>
      <c r="H12" s="158" t="s">
        <v>156</v>
      </c>
      <c r="J12" s="9"/>
      <c r="K12" s="12"/>
      <c r="L12" s="12"/>
    </row>
    <row r="13" spans="1:22" ht="15.6" x14ac:dyDescent="0.3">
      <c r="A13" s="40" t="s">
        <v>157</v>
      </c>
      <c r="B13" s="10">
        <v>45351</v>
      </c>
      <c r="C13" s="10">
        <f>B13*20</f>
        <v>907020</v>
      </c>
      <c r="E13" s="54" t="s">
        <v>157</v>
      </c>
      <c r="F13" s="26">
        <v>115000</v>
      </c>
      <c r="G13" s="26">
        <f>F13/12</f>
        <v>9583.3333333333339</v>
      </c>
      <c r="H13" s="159">
        <f t="shared" ref="H13:H22" si="3">G13*$F$3</f>
        <v>27312.500000000004</v>
      </c>
      <c r="J13" s="9"/>
      <c r="K13" s="12"/>
      <c r="L13" s="12"/>
    </row>
    <row r="14" spans="1:22" ht="15.6" outlineLevel="1" x14ac:dyDescent="0.3">
      <c r="A14" s="40" t="s">
        <v>158</v>
      </c>
      <c r="B14" s="10">
        <v>44854</v>
      </c>
      <c r="C14" s="10">
        <f t="shared" ref="C14:C22" si="4">B14*20</f>
        <v>897080</v>
      </c>
      <c r="E14" s="54" t="s">
        <v>158</v>
      </c>
      <c r="F14" s="26">
        <v>99000</v>
      </c>
      <c r="G14" s="26">
        <f t="shared" ref="G14:G22" si="5">F14/12</f>
        <v>8250</v>
      </c>
      <c r="H14" s="159">
        <f t="shared" si="3"/>
        <v>23512.5</v>
      </c>
      <c r="K14" s="12"/>
    </row>
    <row r="15" spans="1:22" ht="15.6" x14ac:dyDescent="0.3">
      <c r="A15" s="40" t="s">
        <v>159</v>
      </c>
      <c r="B15" s="10">
        <v>42038</v>
      </c>
      <c r="C15" s="10">
        <f t="shared" si="4"/>
        <v>840760</v>
      </c>
      <c r="E15" s="54" t="s">
        <v>159</v>
      </c>
      <c r="F15" s="26">
        <v>120000</v>
      </c>
      <c r="G15" s="26">
        <f t="shared" si="5"/>
        <v>10000</v>
      </c>
      <c r="H15" s="159">
        <f t="shared" si="3"/>
        <v>28500</v>
      </c>
    </row>
    <row r="16" spans="1:22" ht="15.6" x14ac:dyDescent="0.3">
      <c r="A16" s="40" t="s">
        <v>160</v>
      </c>
      <c r="B16" s="10">
        <v>43852</v>
      </c>
      <c r="C16" s="10">
        <f t="shared" si="4"/>
        <v>877040</v>
      </c>
      <c r="E16" s="54" t="s">
        <v>160</v>
      </c>
      <c r="F16" s="26">
        <v>65000</v>
      </c>
      <c r="G16" s="26">
        <f t="shared" si="5"/>
        <v>5416.666666666667</v>
      </c>
      <c r="H16" s="159">
        <f t="shared" si="3"/>
        <v>15437.500000000002</v>
      </c>
    </row>
    <row r="17" spans="1:14" ht="15.6" x14ac:dyDescent="0.3">
      <c r="A17" s="40" t="s">
        <v>161</v>
      </c>
      <c r="B17" s="10">
        <v>39996</v>
      </c>
      <c r="C17" s="10">
        <f t="shared" si="4"/>
        <v>799920</v>
      </c>
      <c r="E17" s="54" t="s">
        <v>161</v>
      </c>
      <c r="F17" s="26">
        <v>140000</v>
      </c>
      <c r="G17" s="26">
        <f t="shared" si="5"/>
        <v>11666.666666666666</v>
      </c>
      <c r="H17" s="159">
        <f t="shared" si="3"/>
        <v>33250</v>
      </c>
    </row>
    <row r="18" spans="1:14" ht="15.6" x14ac:dyDescent="0.3">
      <c r="A18" s="40" t="s">
        <v>162</v>
      </c>
      <c r="B18" s="10">
        <v>41321</v>
      </c>
      <c r="C18" s="10">
        <f t="shared" si="4"/>
        <v>826420</v>
      </c>
      <c r="E18" s="54" t="s">
        <v>162</v>
      </c>
      <c r="F18" s="26">
        <v>120000</v>
      </c>
      <c r="G18" s="26">
        <f t="shared" si="5"/>
        <v>10000</v>
      </c>
      <c r="H18" s="159">
        <f t="shared" si="3"/>
        <v>28500</v>
      </c>
      <c r="J18" s="9"/>
      <c r="K18" s="216"/>
      <c r="L18" s="216"/>
    </row>
    <row r="19" spans="1:14" ht="15.6" x14ac:dyDescent="0.3">
      <c r="A19" s="40" t="s">
        <v>163</v>
      </c>
      <c r="B19" s="10">
        <v>44594</v>
      </c>
      <c r="C19" s="10">
        <f t="shared" si="4"/>
        <v>891880</v>
      </c>
      <c r="E19" s="54" t="s">
        <v>163</v>
      </c>
      <c r="F19" s="26">
        <v>55000</v>
      </c>
      <c r="G19" s="26">
        <f t="shared" si="5"/>
        <v>4583.333333333333</v>
      </c>
      <c r="H19" s="159">
        <f t="shared" si="3"/>
        <v>13062.5</v>
      </c>
      <c r="K19" s="12"/>
      <c r="L19" s="12"/>
    </row>
    <row r="20" spans="1:14" ht="15.6" x14ac:dyDescent="0.3">
      <c r="A20" s="40" t="s">
        <v>164</v>
      </c>
      <c r="B20" s="10">
        <v>42094</v>
      </c>
      <c r="C20" s="10">
        <f t="shared" si="4"/>
        <v>841880</v>
      </c>
      <c r="E20" s="54" t="s">
        <v>164</v>
      </c>
      <c r="F20" s="26">
        <v>125000</v>
      </c>
      <c r="G20" s="26">
        <f t="shared" si="5"/>
        <v>10416.666666666666</v>
      </c>
      <c r="H20" s="159">
        <f t="shared" si="3"/>
        <v>29687.5</v>
      </c>
      <c r="K20" s="218"/>
      <c r="L20" s="12"/>
    </row>
    <row r="21" spans="1:14" ht="15.6" x14ac:dyDescent="0.3">
      <c r="A21" s="40" t="s">
        <v>165</v>
      </c>
      <c r="B21" s="10">
        <v>46283</v>
      </c>
      <c r="C21" s="10">
        <f t="shared" si="4"/>
        <v>925660</v>
      </c>
      <c r="E21" s="54" t="s">
        <v>165</v>
      </c>
      <c r="F21" s="26">
        <v>140000</v>
      </c>
      <c r="G21" s="26">
        <f t="shared" si="5"/>
        <v>11666.666666666666</v>
      </c>
      <c r="H21" s="159">
        <f t="shared" si="3"/>
        <v>33250</v>
      </c>
      <c r="J21" s="9"/>
      <c r="K21" s="12"/>
      <c r="L21" s="12"/>
      <c r="N21" s="217"/>
    </row>
    <row r="22" spans="1:14" ht="16.2" thickBot="1" x14ac:dyDescent="0.35">
      <c r="A22" s="41" t="s">
        <v>166</v>
      </c>
      <c r="B22" s="11">
        <v>30873</v>
      </c>
      <c r="C22" s="11">
        <f t="shared" si="4"/>
        <v>617460</v>
      </c>
      <c r="E22" s="55" t="s">
        <v>166</v>
      </c>
      <c r="F22" s="160">
        <v>160000</v>
      </c>
      <c r="G22" s="160">
        <f t="shared" si="5"/>
        <v>13333.333333333334</v>
      </c>
      <c r="H22" s="161">
        <f t="shared" si="3"/>
        <v>38000</v>
      </c>
      <c r="J22" s="9"/>
      <c r="K22" s="12"/>
      <c r="L22" s="12"/>
    </row>
    <row r="23" spans="1:14" ht="15.75" customHeight="1" thickBot="1" x14ac:dyDescent="0.35"/>
    <row r="24" spans="1:14" ht="15.6" x14ac:dyDescent="0.3">
      <c r="A24" s="147" t="str">
        <f>A11</f>
        <v xml:space="preserve">Rent AirBNB  </v>
      </c>
      <c r="B24" s="148"/>
      <c r="E24" s="147" t="str">
        <f>E11</f>
        <v xml:space="preserve">Rent with realtor </v>
      </c>
      <c r="F24" s="148"/>
      <c r="J24" s="16"/>
      <c r="K24" s="17"/>
      <c r="L24" s="17"/>
    </row>
    <row r="25" spans="1:14" ht="15.6" x14ac:dyDescent="0.3">
      <c r="A25" s="27"/>
      <c r="B25" s="28"/>
      <c r="E25" s="27"/>
      <c r="F25" s="28"/>
      <c r="J25" s="14"/>
      <c r="K25" s="15"/>
      <c r="L25" s="15"/>
    </row>
    <row r="26" spans="1:14" ht="15.6" x14ac:dyDescent="0.3">
      <c r="A26" s="27" t="s">
        <v>14</v>
      </c>
      <c r="B26" s="166">
        <v>42125.599999999999</v>
      </c>
      <c r="C26" s="36"/>
      <c r="D26" s="36"/>
      <c r="E26" s="37" t="s">
        <v>14</v>
      </c>
      <c r="F26" s="166">
        <v>26956.333333333332</v>
      </c>
      <c r="J26" s="14"/>
      <c r="K26" s="18"/>
      <c r="L26" s="15"/>
    </row>
    <row r="27" spans="1:14" ht="15.6" x14ac:dyDescent="0.3">
      <c r="A27" s="145" t="s">
        <v>18</v>
      </c>
      <c r="B27" s="38">
        <v>1398.4795648608288</v>
      </c>
      <c r="C27" s="36"/>
      <c r="D27" s="36"/>
      <c r="E27" s="145" t="s">
        <v>18</v>
      </c>
      <c r="F27" s="38">
        <v>2465.6911209037739</v>
      </c>
      <c r="J27" s="16"/>
      <c r="K27" s="15"/>
      <c r="L27" s="15"/>
    </row>
    <row r="28" spans="1:14" ht="15.6" x14ac:dyDescent="0.3">
      <c r="A28" s="145" t="s">
        <v>22</v>
      </c>
      <c r="B28" s="38">
        <v>42973</v>
      </c>
      <c r="C28" s="36"/>
      <c r="D28" s="36"/>
      <c r="E28" s="145" t="s">
        <v>22</v>
      </c>
      <c r="F28" s="38">
        <v>28400</v>
      </c>
      <c r="J28" s="16"/>
      <c r="K28" s="15"/>
      <c r="L28" s="15"/>
    </row>
    <row r="29" spans="1:14" ht="15.75" customHeight="1" x14ac:dyDescent="0.3">
      <c r="A29" s="145" t="s">
        <v>25</v>
      </c>
      <c r="B29" s="38" t="e">
        <v>#N/A</v>
      </c>
      <c r="C29" s="36"/>
      <c r="D29" s="36"/>
      <c r="E29" s="145" t="s">
        <v>25</v>
      </c>
      <c r="F29" s="38">
        <v>28400</v>
      </c>
    </row>
    <row r="30" spans="1:14" ht="15.6" x14ac:dyDescent="0.3">
      <c r="A30" s="145" t="s">
        <v>30</v>
      </c>
      <c r="B30" s="38">
        <v>4422.3806861613948</v>
      </c>
      <c r="C30" s="36"/>
      <c r="D30" s="36"/>
      <c r="E30" s="145" t="s">
        <v>30</v>
      </c>
      <c r="F30" s="38">
        <v>7797.1999485095357</v>
      </c>
      <c r="J30" s="16"/>
      <c r="K30" s="17"/>
      <c r="L30" s="17"/>
    </row>
    <row r="31" spans="1:14" ht="15.6" x14ac:dyDescent="0.3">
      <c r="A31" s="145" t="s">
        <v>33</v>
      </c>
      <c r="B31" s="38">
        <v>19557450.93333333</v>
      </c>
      <c r="C31" s="36"/>
      <c r="D31" s="36"/>
      <c r="E31" s="145" t="s">
        <v>33</v>
      </c>
      <c r="F31" s="38">
        <v>60796327.037037104</v>
      </c>
      <c r="J31" s="14"/>
      <c r="K31" s="15"/>
      <c r="L31" s="15"/>
    </row>
    <row r="32" spans="1:14" ht="15.6" x14ac:dyDescent="0.3">
      <c r="A32" s="145" t="s">
        <v>36</v>
      </c>
      <c r="B32" s="38">
        <v>5.1112634884101107</v>
      </c>
      <c r="C32" s="36"/>
      <c r="D32" s="36"/>
      <c r="E32" s="145" t="s">
        <v>36</v>
      </c>
      <c r="F32" s="38">
        <v>-2.9439387596286615E-2</v>
      </c>
      <c r="J32" s="14"/>
      <c r="K32" s="18"/>
      <c r="L32" s="15"/>
    </row>
    <row r="33" spans="1:12" ht="15.6" x14ac:dyDescent="0.3">
      <c r="A33" s="145" t="s">
        <v>39</v>
      </c>
      <c r="B33" s="38">
        <v>-2.0700545854406354</v>
      </c>
      <c r="C33" s="36"/>
      <c r="D33" s="36"/>
      <c r="E33" s="145" t="s">
        <v>39</v>
      </c>
      <c r="F33" s="38">
        <v>-0.73490388699366971</v>
      </c>
      <c r="J33" s="16"/>
      <c r="K33" s="15"/>
      <c r="L33" s="15"/>
    </row>
    <row r="34" spans="1:12" ht="15.6" x14ac:dyDescent="0.3">
      <c r="A34" s="145" t="s">
        <v>43</v>
      </c>
      <c r="B34" s="38">
        <v>15410</v>
      </c>
      <c r="C34" s="36"/>
      <c r="D34" s="36"/>
      <c r="E34" s="145" t="s">
        <v>43</v>
      </c>
      <c r="F34" s="38">
        <v>24850</v>
      </c>
      <c r="J34" s="16"/>
      <c r="K34" s="15"/>
      <c r="L34" s="15"/>
    </row>
    <row r="35" spans="1:12" ht="15.75" customHeight="1" x14ac:dyDescent="0.3">
      <c r="A35" s="145" t="s">
        <v>46</v>
      </c>
      <c r="B35" s="38">
        <v>30873</v>
      </c>
      <c r="C35" s="36"/>
      <c r="D35" s="36"/>
      <c r="E35" s="145" t="s">
        <v>46</v>
      </c>
      <c r="F35" s="38">
        <v>13016.666666666666</v>
      </c>
    </row>
    <row r="36" spans="1:12" ht="15.6" x14ac:dyDescent="0.3">
      <c r="A36" s="145" t="s">
        <v>50</v>
      </c>
      <c r="B36" s="38">
        <v>46283</v>
      </c>
      <c r="C36" s="36"/>
      <c r="D36" s="36"/>
      <c r="E36" s="145" t="s">
        <v>50</v>
      </c>
      <c r="F36" s="38">
        <v>37866.666666666664</v>
      </c>
    </row>
    <row r="37" spans="1:12" ht="15.6" x14ac:dyDescent="0.3">
      <c r="A37" s="145" t="s">
        <v>54</v>
      </c>
      <c r="B37" s="38">
        <v>421256</v>
      </c>
      <c r="C37" s="36"/>
      <c r="D37" s="36"/>
      <c r="E37" s="145" t="s">
        <v>54</v>
      </c>
      <c r="F37" s="38">
        <v>269563.33333333331</v>
      </c>
      <c r="J37" s="16"/>
      <c r="K37" s="17"/>
      <c r="L37" s="17"/>
    </row>
    <row r="38" spans="1:12" ht="15.6" x14ac:dyDescent="0.3">
      <c r="A38" s="145" t="s">
        <v>58</v>
      </c>
      <c r="B38" s="38">
        <v>10</v>
      </c>
      <c r="C38" s="36"/>
      <c r="D38" s="36"/>
      <c r="E38" s="145" t="s">
        <v>58</v>
      </c>
      <c r="F38" s="38">
        <v>10</v>
      </c>
      <c r="J38" s="14"/>
      <c r="K38" s="18"/>
      <c r="L38" s="15"/>
    </row>
    <row r="39" spans="1:12" ht="16.2" thickBot="1" x14ac:dyDescent="0.35">
      <c r="A39" s="146" t="s">
        <v>62</v>
      </c>
      <c r="B39" s="39">
        <v>3163.5805646768404</v>
      </c>
      <c r="C39" s="36"/>
      <c r="D39" s="36"/>
      <c r="E39" s="146" t="s">
        <v>62</v>
      </c>
      <c r="F39" s="39">
        <v>5577.7808304004066</v>
      </c>
      <c r="J39" s="14"/>
      <c r="K39" s="18"/>
      <c r="L39" s="15"/>
    </row>
    <row r="40" spans="1:12" ht="15.6" x14ac:dyDescent="0.3">
      <c r="J40" s="16"/>
      <c r="K40" s="15"/>
      <c r="L40" s="15"/>
    </row>
    <row r="41" spans="1:12" ht="15.6" x14ac:dyDescent="0.3">
      <c r="J41" s="16"/>
      <c r="K41" s="15"/>
      <c r="L41" s="15"/>
    </row>
    <row r="43" spans="1:12" ht="15.6" x14ac:dyDescent="0.3">
      <c r="J43" s="16"/>
      <c r="K43" s="17"/>
      <c r="L43" s="17"/>
    </row>
    <row r="44" spans="1:12" ht="15.6" x14ac:dyDescent="0.3">
      <c r="J44" s="14"/>
      <c r="K44" s="15"/>
      <c r="L44" s="15"/>
    </row>
    <row r="45" spans="1:12" ht="15.6" x14ac:dyDescent="0.3">
      <c r="J45" s="14"/>
      <c r="K45" s="18"/>
      <c r="L45" s="15"/>
    </row>
    <row r="46" spans="1:12" ht="15.6" x14ac:dyDescent="0.3">
      <c r="J46" s="16"/>
      <c r="K46" s="15"/>
      <c r="L46" s="15"/>
    </row>
    <row r="47" spans="1:12" ht="15.6" x14ac:dyDescent="0.3">
      <c r="J47" s="16"/>
      <c r="K47" s="15"/>
      <c r="L47" s="15"/>
    </row>
    <row r="48" spans="1:12" ht="15.6" x14ac:dyDescent="0.3">
      <c r="K48" s="15"/>
    </row>
    <row r="51" spans="16:21" ht="15.75" customHeight="1" x14ac:dyDescent="0.3">
      <c r="P51" s="6"/>
      <c r="Q51" s="6"/>
      <c r="R51" s="6"/>
      <c r="S51" s="6"/>
      <c r="T51" s="6"/>
      <c r="U51" s="6"/>
    </row>
    <row r="52" spans="16:21" ht="15.75" customHeight="1" x14ac:dyDescent="0.3">
      <c r="P52" s="6"/>
      <c r="Q52" s="6"/>
      <c r="R52" s="6"/>
      <c r="S52" s="6"/>
      <c r="T52" s="6"/>
      <c r="U52" s="6"/>
    </row>
    <row r="53" spans="16:21" ht="15.75" customHeight="1" x14ac:dyDescent="0.3">
      <c r="P53" s="7"/>
      <c r="Q53" s="7"/>
      <c r="R53" s="6"/>
      <c r="U53" s="6"/>
    </row>
    <row r="54" spans="16:21" ht="15.75" customHeight="1" x14ac:dyDescent="0.3">
      <c r="P54" s="6"/>
      <c r="Q54" s="6"/>
      <c r="R54" s="6"/>
      <c r="U54" s="6"/>
    </row>
    <row r="55" spans="16:21" ht="15.75" customHeight="1" x14ac:dyDescent="0.3">
      <c r="P55" s="6"/>
      <c r="Q55" s="20"/>
      <c r="R55" s="6"/>
      <c r="U55" s="6"/>
    </row>
    <row r="56" spans="16:21" ht="15.75" customHeight="1" x14ac:dyDescent="0.3">
      <c r="P56" s="6"/>
      <c r="Q56" s="6"/>
      <c r="R56" s="6"/>
      <c r="U56" s="6"/>
    </row>
    <row r="57" spans="16:21" ht="15.75" customHeight="1" x14ac:dyDescent="0.3">
      <c r="P57" s="6"/>
      <c r="Q57" s="6"/>
      <c r="R57" s="6"/>
      <c r="U57" s="6"/>
    </row>
    <row r="58" spans="16:21" ht="15.75" customHeight="1" x14ac:dyDescent="0.3">
      <c r="P58" s="6"/>
      <c r="Q58" s="6"/>
      <c r="R58" s="6"/>
      <c r="U58" s="6"/>
    </row>
    <row r="59" spans="16:21" ht="15.75" customHeight="1" x14ac:dyDescent="0.3">
      <c r="P59" s="6"/>
      <c r="Q59" s="6"/>
      <c r="R59" s="6"/>
      <c r="U59" s="6"/>
    </row>
    <row r="60" spans="16:21" ht="15.75" customHeight="1" x14ac:dyDescent="0.3">
      <c r="P60" s="6"/>
      <c r="Q60" s="6"/>
      <c r="R60" s="6"/>
      <c r="U60" s="6"/>
    </row>
    <row r="61" spans="16:21" ht="15.75" customHeight="1" x14ac:dyDescent="0.3">
      <c r="P61" s="6"/>
      <c r="Q61" s="6"/>
      <c r="R61" s="6"/>
      <c r="U61" s="6"/>
    </row>
    <row r="62" spans="16:21" ht="15.75" customHeight="1" x14ac:dyDescent="0.3">
      <c r="P62" s="6"/>
      <c r="Q62" s="6"/>
      <c r="R62" s="6"/>
      <c r="U62" s="6"/>
    </row>
    <row r="63" spans="16:21" ht="15.75" customHeight="1" x14ac:dyDescent="0.3">
      <c r="P63" s="6"/>
      <c r="Q63" s="6"/>
      <c r="R63" s="6"/>
      <c r="U63" s="6"/>
    </row>
    <row r="64" spans="16:21" ht="15.75" customHeight="1" x14ac:dyDescent="0.3">
      <c r="P64" s="6"/>
      <c r="Q64" s="6"/>
      <c r="R64" s="6"/>
      <c r="U64" s="6"/>
    </row>
    <row r="65" spans="18:21" ht="15.75" customHeight="1" x14ac:dyDescent="0.3">
      <c r="R65" s="6"/>
      <c r="U65" s="6"/>
    </row>
  </sheetData>
  <mergeCells count="3">
    <mergeCell ref="O9:P9"/>
    <mergeCell ref="A1:B1"/>
    <mergeCell ref="E2:F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4</vt:i4>
      </vt:variant>
    </vt:vector>
  </HeadingPairs>
  <TitlesOfParts>
    <vt:vector size="4" baseType="lpstr">
      <vt:lpstr>Data</vt:lpstr>
      <vt:lpstr>Simulation</vt:lpstr>
      <vt:lpstr>Data simulation </vt:lpstr>
      <vt:lpstr>Decision theory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andrea westgaard</cp:lastModifiedBy>
  <cp:revision/>
  <dcterms:created xsi:type="dcterms:W3CDTF">2023-03-02T09:23:31Z</dcterms:created>
  <dcterms:modified xsi:type="dcterms:W3CDTF">2026-08-09T19:30:54Z</dcterms:modified>
  <cp:category/>
  <cp:contentStatus/>
</cp:coreProperties>
</file>